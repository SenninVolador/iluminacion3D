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_Martes" sheetId="1" state="visible" r:id="rId1"/>
    <sheet xmlns:r="http://schemas.openxmlformats.org/officeDocument/2006/relationships" name="Matriz_Rubrica" sheetId="2" state="visible" r:id="rId2"/>
    <sheet xmlns:r="http://schemas.openxmlformats.org/officeDocument/2006/relationships" name="Escala_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i val="1"/>
      <color rgb="00475569"/>
      <sz val="10"/>
    </font>
    <font>
      <name val="Segoe UI"/>
      <b val="1"/>
      <color rgb="00475569"/>
      <sz val="9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color rgb="0064748B"/>
      <sz val="10"/>
    </font>
    <font>
      <name val="Segoe UI"/>
      <color rgb="000F172A"/>
      <sz val="10"/>
    </font>
    <font>
      <name val="Segoe UI"/>
      <b val="1"/>
      <color rgb="000F172A"/>
      <sz val="11"/>
    </font>
    <font>
      <name val="Segoe UI"/>
      <b val="1"/>
      <sz val="9.5"/>
    </font>
    <font>
      <name val="Segoe UI"/>
      <color rgb="00334155"/>
      <sz val="9.5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0F172A"/>
      <sz val="12"/>
    </font>
    <font>
      <name val="Segoe UI"/>
      <sz val="9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164" fontId="15" fillId="4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164" fontId="1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5" customWidth="1" min="8" max="8"/>
    <col width="14" customWidth="1" min="9" max="9"/>
    <col width="13" customWidth="1" min="10" max="10"/>
    <col width="14" customWidth="1" min="11" max="11"/>
    <col width="36" customWidth="1" min="12" max="12"/>
  </cols>
  <sheetData>
    <row r="1">
      <c r="A1" s="1" t="inlineStr">
        <is>
          <t>EVALUACIÓN ENTREGA N°1: ILUMINACIÓN 3-POINT Y SHADER PBR — SECCIÓN MARTES</t>
        </is>
      </c>
    </row>
    <row r="2">
      <c r="A2" s="2" t="inlineStr">
        <is>
          <t>Asignatura: Iluminación 3D y Shaders · Docente: Daniel Rojas (UNIACC) · Escala: 1.0 a 7.0 al 60% de Exigencia (36 pts = 4.0)</t>
        </is>
      </c>
    </row>
    <row r="4">
      <c r="B4" s="3" t="inlineStr">
        <is>
          <t>Promedio Curso:</t>
        </is>
      </c>
      <c r="C4" s="4">
        <f>IFERROR(ROUND(AVERAGE(J6:J18), 1), "-")</f>
        <v/>
      </c>
      <c r="D4" s="3" t="inlineStr">
        <is>
          <t>Tasa Aprobación:</t>
        </is>
      </c>
      <c r="E4" s="4">
        <f>IFERROR(TEXT(COUNTIF(K6:K18, "APROBADO")/MAX(1, COUNTA(B6:B18)), "0.0%"), "0%")</f>
        <v/>
      </c>
      <c r="F4" s="3" t="inlineStr">
        <is>
          <t>Aprobados / Reprobados:</t>
        </is>
      </c>
      <c r="G4" s="4">
        <f>COUNTIF(K6:K18, "APROBADO") &amp; " / " &amp; COUNTIF(K6:K18, "REPROBADO")</f>
        <v/>
      </c>
      <c r="H4" s="3" t="inlineStr">
        <is>
          <t>Puntaje Máx / Mín:</t>
        </is>
      </c>
      <c r="I4" s="4">
        <f>IFERROR(MAX(I6:I18) &amp; " / " &amp; MIN(I6:I18), "-")</f>
        <v/>
      </c>
      <c r="J4" s="3" t="inlineStr">
        <is>
          <t>Nota Máx / Mín:</t>
        </is>
      </c>
      <c r="K4" s="4">
        <f>IFERROR(MAX(J6:J18) &amp; " / " &amp; MIN(J6:J18), "-")</f>
        <v/>
      </c>
    </row>
    <row r="5" ht="32" customHeight="1">
      <c r="A5" s="5" t="inlineStr">
        <is>
          <t>N°</t>
        </is>
      </c>
      <c r="B5" s="6" t="inlineStr">
        <is>
          <t>Estudiante (Sección Martes)</t>
        </is>
      </c>
      <c r="C5" s="5" t="inlineStr">
        <is>
          <t>Key Light
(Máx 7)</t>
        </is>
      </c>
      <c r="D5" s="5" t="inlineStr">
        <is>
          <t>Fill Light
(Máx 7)</t>
        </is>
      </c>
      <c r="E5" s="5" t="inlineStr">
        <is>
          <t>Rim Light
(Máx 6)</t>
        </is>
      </c>
      <c r="F5" s="5" t="inlineStr">
        <is>
          <t>Material PBR
(Máx 15)</t>
        </is>
      </c>
      <c r="G5" s="5" t="inlineStr">
        <is>
          <t>Shader Instancias
(Máx 15)</t>
        </is>
      </c>
      <c r="H5" s="5" t="inlineStr">
        <is>
          <t>Orden / Nombres
(Máx 10)</t>
        </is>
      </c>
      <c r="I5" s="5" t="inlineStr">
        <is>
          <t>Puntaje Total
(Máx 60)</t>
        </is>
      </c>
      <c r="J5" s="5" t="inlineStr">
        <is>
          <t>Nota Final
(1.0 - 7.0)</t>
        </is>
      </c>
      <c r="K5" s="5" t="inlineStr">
        <is>
          <t>Estado</t>
        </is>
      </c>
      <c r="L5" s="6" t="inlineStr">
        <is>
          <t>Observaciones y Retroalimentación</t>
        </is>
      </c>
    </row>
    <row r="6" ht="22" customHeight="1">
      <c r="A6" s="7" t="n">
        <v>1</v>
      </c>
      <c r="B6" s="8" t="inlineStr">
        <is>
          <t>JOSE MIGUEL FARFAN CARRASCO</t>
        </is>
      </c>
      <c r="C6" s="9" t="n"/>
      <c r="D6" s="9" t="n"/>
      <c r="E6" s="9" t="n"/>
      <c r="F6" s="9" t="n"/>
      <c r="G6" s="9" t="n"/>
      <c r="H6" s="9" t="n"/>
      <c r="I6" s="10">
        <f>IF(COUNTA(C6:H6)&gt;0, SUM(C6:H6), "")</f>
        <v/>
      </c>
      <c r="J6" s="11">
        <f>IF(I6="","",ROUND(IF(I6&lt;36, 1 + 3*(I6/36), 4 + 3*((I6-36)/24)), 1))</f>
        <v/>
      </c>
      <c r="K6" s="12">
        <f>IF(J6="","",IF(J6&gt;=4.0,"APROBADO","REPROBADO"))</f>
        <v/>
      </c>
      <c r="L6" s="13" t="n"/>
    </row>
    <row r="7" ht="22" customHeight="1">
      <c r="A7" s="7" t="n">
        <v>2</v>
      </c>
      <c r="B7" s="8" t="inlineStr">
        <is>
          <t>BENJAMIN FERNANDO FIGUEROA GONZALEZ</t>
        </is>
      </c>
      <c r="C7" s="9" t="n"/>
      <c r="D7" s="9" t="n"/>
      <c r="E7" s="9" t="n"/>
      <c r="F7" s="9" t="n"/>
      <c r="G7" s="9" t="n"/>
      <c r="H7" s="9" t="n"/>
      <c r="I7" s="10">
        <f>IF(COUNTA(C7:H7)&gt;0, SUM(C7:H7), "")</f>
        <v/>
      </c>
      <c r="J7" s="11">
        <f>IF(I7="","",ROUND(IF(I7&lt;36, 1 + 3*(I7/36), 4 + 3*((I7-36)/24)), 1))</f>
        <v/>
      </c>
      <c r="K7" s="12">
        <f>IF(J7="","",IF(J7&gt;=4.0,"APROBADO","REPROBADO"))</f>
        <v/>
      </c>
      <c r="L7" s="13" t="n"/>
    </row>
    <row r="8" ht="22" customHeight="1">
      <c r="A8" s="7" t="n">
        <v>3</v>
      </c>
      <c r="B8" s="8" t="inlineStr">
        <is>
          <t>MATIAS IGNACIO GODOY TIRADO</t>
        </is>
      </c>
      <c r="C8" s="9" t="n"/>
      <c r="D8" s="9" t="n"/>
      <c r="E8" s="9" t="n"/>
      <c r="F8" s="9" t="n"/>
      <c r="G8" s="9" t="n"/>
      <c r="H8" s="9" t="n"/>
      <c r="I8" s="10">
        <f>IF(COUNTA(C8:H8)&gt;0, SUM(C8:H8), "")</f>
        <v/>
      </c>
      <c r="J8" s="11">
        <f>IF(I8="","",ROUND(IF(I8&lt;36, 1 + 3*(I8/36), 4 + 3*((I8-36)/24)), 1))</f>
        <v/>
      </c>
      <c r="K8" s="12">
        <f>IF(J8="","",IF(J8&gt;=4.0,"APROBADO","REPROBADO"))</f>
        <v/>
      </c>
      <c r="L8" s="13" t="n"/>
    </row>
    <row r="9" ht="22" customHeight="1">
      <c r="A9" s="7" t="n">
        <v>4</v>
      </c>
      <c r="B9" s="8" t="inlineStr">
        <is>
          <t>HENRY ALEXANDER HERNANDEZ PEREZ</t>
        </is>
      </c>
      <c r="C9" s="9" t="n"/>
      <c r="D9" s="9" t="n"/>
      <c r="E9" s="9" t="n"/>
      <c r="F9" s="9" t="n"/>
      <c r="G9" s="9" t="n"/>
      <c r="H9" s="9" t="n"/>
      <c r="I9" s="10">
        <f>IF(COUNTA(C9:H9)&gt;0, SUM(C9:H9), "")</f>
        <v/>
      </c>
      <c r="J9" s="11">
        <f>IF(I9="","",ROUND(IF(I9&lt;36, 1 + 3*(I9/36), 4 + 3*((I9-36)/24)), 1))</f>
        <v/>
      </c>
      <c r="K9" s="12">
        <f>IF(J9="","",IF(J9&gt;=4.0,"APROBADO","REPROBADO"))</f>
        <v/>
      </c>
      <c r="L9" s="13" t="n"/>
    </row>
    <row r="10" ht="22" customHeight="1">
      <c r="A10" s="7" t="n">
        <v>5</v>
      </c>
      <c r="B10" s="8" t="inlineStr">
        <is>
          <t>GAEL ALBERTO IBARRA MONTECINOS</t>
        </is>
      </c>
      <c r="C10" s="9" t="n"/>
      <c r="D10" s="9" t="n"/>
      <c r="E10" s="9" t="n"/>
      <c r="F10" s="9" t="n"/>
      <c r="G10" s="9" t="n"/>
      <c r="H10" s="9" t="n"/>
      <c r="I10" s="10">
        <f>IF(COUNTA(C10:H10)&gt;0, SUM(C10:H10), "")</f>
        <v/>
      </c>
      <c r="J10" s="11">
        <f>IF(I10="","",ROUND(IF(I10&lt;36, 1 + 3*(I10/36), 4 + 3*((I10-36)/24)), 1))</f>
        <v/>
      </c>
      <c r="K10" s="12">
        <f>IF(J10="","",IF(J10&gt;=4.0,"APROBADO","REPROBADO"))</f>
        <v/>
      </c>
      <c r="L10" s="13" t="n"/>
    </row>
    <row r="11" ht="22" customHeight="1">
      <c r="A11" s="7" t="n">
        <v>6</v>
      </c>
      <c r="B11" s="8" t="inlineStr">
        <is>
          <t>LUKA PASCAL LATIFE CUEVAS</t>
        </is>
      </c>
      <c r="C11" s="9" t="n"/>
      <c r="D11" s="9" t="n"/>
      <c r="E11" s="9" t="n"/>
      <c r="F11" s="9" t="n"/>
      <c r="G11" s="9" t="n"/>
      <c r="H11" s="9" t="n"/>
      <c r="I11" s="10">
        <f>IF(COUNTA(C11:H11)&gt;0, SUM(C11:H11), "")</f>
        <v/>
      </c>
      <c r="J11" s="11">
        <f>IF(I11="","",ROUND(IF(I11&lt;36, 1 + 3*(I11/36), 4 + 3*((I11-36)/24)), 1))</f>
        <v/>
      </c>
      <c r="K11" s="12">
        <f>IF(J11="","",IF(J11&gt;=4.0,"APROBADO","REPROBADO"))</f>
        <v/>
      </c>
      <c r="L11" s="13" t="n"/>
    </row>
    <row r="12" ht="22" customHeight="1">
      <c r="A12" s="7" t="n">
        <v>7</v>
      </c>
      <c r="B12" s="8" t="inlineStr">
        <is>
          <t>MEI MALDONADO DUARTE</t>
        </is>
      </c>
      <c r="C12" s="9" t="n"/>
      <c r="D12" s="9" t="n"/>
      <c r="E12" s="9" t="n"/>
      <c r="F12" s="9" t="n"/>
      <c r="G12" s="9" t="n"/>
      <c r="H12" s="9" t="n"/>
      <c r="I12" s="10">
        <f>IF(COUNTA(C12:H12)&gt;0, SUM(C12:H12), "")</f>
        <v/>
      </c>
      <c r="J12" s="11">
        <f>IF(I12="","",ROUND(IF(I12&lt;36, 1 + 3*(I12/36), 4 + 3*((I12-36)/24)), 1))</f>
        <v/>
      </c>
      <c r="K12" s="12">
        <f>IF(J12="","",IF(J12&gt;=4.0,"APROBADO","REPROBADO"))</f>
        <v/>
      </c>
      <c r="L12" s="13" t="n"/>
    </row>
    <row r="13" ht="22" customHeight="1">
      <c r="A13" s="7" t="n">
        <v>8</v>
      </c>
      <c r="B13" s="8" t="inlineStr">
        <is>
          <t>ELIZABETH FABIOLA MEDRANO MORAN</t>
        </is>
      </c>
      <c r="C13" s="9" t="n"/>
      <c r="D13" s="9" t="n"/>
      <c r="E13" s="9" t="n"/>
      <c r="F13" s="9" t="n"/>
      <c r="G13" s="9" t="n"/>
      <c r="H13" s="9" t="n"/>
      <c r="I13" s="10">
        <f>IF(COUNTA(C13:H13)&gt;0, SUM(C13:H13), "")</f>
        <v/>
      </c>
      <c r="J13" s="11">
        <f>IF(I13="","",ROUND(IF(I13&lt;36, 1 + 3*(I13/36), 4 + 3*((I13-36)/24)), 1))</f>
        <v/>
      </c>
      <c r="K13" s="12">
        <f>IF(J13="","",IF(J13&gt;=4.0,"APROBADO","REPROBADO"))</f>
        <v/>
      </c>
      <c r="L13" s="13" t="n"/>
    </row>
    <row r="14" ht="22" customHeight="1">
      <c r="A14" s="7" t="n">
        <v>9</v>
      </c>
      <c r="B14" s="8" t="inlineStr">
        <is>
          <t>FREDDY DANILO MONTANARES ROSALES</t>
        </is>
      </c>
      <c r="C14" s="9" t="n"/>
      <c r="D14" s="9" t="n"/>
      <c r="E14" s="9" t="n"/>
      <c r="F14" s="9" t="n"/>
      <c r="G14" s="9" t="n"/>
      <c r="H14" s="9" t="n"/>
      <c r="I14" s="10">
        <f>IF(COUNTA(C14:H14)&gt;0, SUM(C14:H14), "")</f>
        <v/>
      </c>
      <c r="J14" s="11">
        <f>IF(I14="","",ROUND(IF(I14&lt;36, 1 + 3*(I14/36), 4 + 3*((I14-36)/24)), 1))</f>
        <v/>
      </c>
      <c r="K14" s="12">
        <f>IF(J14="","",IF(J14&gt;=4.0,"APROBADO","REPROBADO"))</f>
        <v/>
      </c>
      <c r="L14" s="13" t="n"/>
    </row>
    <row r="15" ht="22" customHeight="1">
      <c r="A15" s="7" t="n">
        <v>10</v>
      </c>
      <c r="B15" s="8" t="inlineStr">
        <is>
          <t>JOSE FRANCISCO NAVARRETE BARRIOS</t>
        </is>
      </c>
      <c r="C15" s="9" t="n"/>
      <c r="D15" s="9" t="n"/>
      <c r="E15" s="9" t="n"/>
      <c r="F15" s="9" t="n"/>
      <c r="G15" s="9" t="n"/>
      <c r="H15" s="9" t="n"/>
      <c r="I15" s="10">
        <f>IF(COUNTA(C15:H15)&gt;0, SUM(C15:H15), "")</f>
        <v/>
      </c>
      <c r="J15" s="11">
        <f>IF(I15="","",ROUND(IF(I15&lt;36, 1 + 3*(I15/36), 4 + 3*((I15-36)/24)), 1))</f>
        <v/>
      </c>
      <c r="K15" s="12">
        <f>IF(J15="","",IF(J15&gt;=4.0,"APROBADO","REPROBADO"))</f>
        <v/>
      </c>
      <c r="L15" s="13" t="n"/>
    </row>
    <row r="16" ht="22" customHeight="1">
      <c r="A16" s="7" t="n">
        <v>11</v>
      </c>
      <c r="B16" s="8" t="inlineStr">
        <is>
          <t>NATANIEL ASTRO REYES FLORES</t>
        </is>
      </c>
      <c r="C16" s="9" t="n"/>
      <c r="D16" s="9" t="n"/>
      <c r="E16" s="9" t="n"/>
      <c r="F16" s="9" t="n"/>
      <c r="G16" s="9" t="n"/>
      <c r="H16" s="9" t="n"/>
      <c r="I16" s="10">
        <f>IF(COUNTA(C16:H16)&gt;0, SUM(C16:H16), "")</f>
        <v/>
      </c>
      <c r="J16" s="11">
        <f>IF(I16="","",ROUND(IF(I16&lt;36, 1 + 3*(I16/36), 4 + 3*((I16-36)/24)), 1))</f>
        <v/>
      </c>
      <c r="K16" s="12">
        <f>IF(J16="","",IF(J16&gt;=4.0,"APROBADO","REPROBADO"))</f>
        <v/>
      </c>
      <c r="L16" s="13" t="n"/>
    </row>
    <row r="17" ht="22" customHeight="1">
      <c r="A17" s="7" t="n">
        <v>12</v>
      </c>
      <c r="B17" s="8" t="inlineStr">
        <is>
          <t>DANIEL ELIAS ROJAS LOPEZ</t>
        </is>
      </c>
      <c r="C17" s="9" t="n"/>
      <c r="D17" s="9" t="n"/>
      <c r="E17" s="9" t="n"/>
      <c r="F17" s="9" t="n"/>
      <c r="G17" s="9" t="n"/>
      <c r="H17" s="9" t="n"/>
      <c r="I17" s="10">
        <f>IF(COUNTA(C17:H17)&gt;0, SUM(C17:H17), "")</f>
        <v/>
      </c>
      <c r="J17" s="11">
        <f>IF(I17="","",ROUND(IF(I17&lt;36, 1 + 3*(I17/36), 4 + 3*((I17-36)/24)), 1))</f>
        <v/>
      </c>
      <c r="K17" s="12">
        <f>IF(J17="","",IF(J17&gt;=4.0,"APROBADO","REPROBADO"))</f>
        <v/>
      </c>
      <c r="L17" s="13" t="n"/>
    </row>
    <row r="18" ht="22" customHeight="1">
      <c r="A18" s="7" t="n">
        <v>13</v>
      </c>
      <c r="B18" s="8" t="inlineStr">
        <is>
          <t>CRISTOBAL NICOLAS VALENZUELA PRESSAC</t>
        </is>
      </c>
      <c r="C18" s="9" t="n"/>
      <c r="D18" s="9" t="n"/>
      <c r="E18" s="9" t="n"/>
      <c r="F18" s="9" t="n"/>
      <c r="G18" s="9" t="n"/>
      <c r="H18" s="9" t="n"/>
      <c r="I18" s="10">
        <f>IF(COUNTA(C18:H18)&gt;0, SUM(C18:H18), "")</f>
        <v/>
      </c>
      <c r="J18" s="11">
        <f>IF(I18="","",ROUND(IF(I18&lt;36, 1 + 3*(I18/36), 4 + 3*((I18-36)/24)), 1))</f>
        <v/>
      </c>
      <c r="K18" s="12">
        <f>IF(J18="","",IF(J18&gt;=4.0,"APROBADO","REPROBADO"))</f>
        <v/>
      </c>
      <c r="L18" s="13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2" customWidth="1" min="2" max="2"/>
    <col width="30" customWidth="1" min="3" max="3"/>
    <col width="28" customWidth="1" min="4" max="4"/>
    <col width="28" customWidth="1" min="5" max="5"/>
    <col width="14" customWidth="1" min="6" max="6"/>
  </cols>
  <sheetData>
    <row r="1">
      <c r="A1" s="1" t="inlineStr">
        <is>
          <t>MATRIZ DESCRIPTIVA DE EVALUACIÓN (TOTAL: 60 PUNTOS)</t>
        </is>
      </c>
    </row>
    <row r="3" ht="26" customHeight="1">
      <c r="A3" s="6" t="inlineStr">
        <is>
          <t>Criterio Evaluado</t>
        </is>
      </c>
      <c r="B3" s="6" t="inlineStr">
        <is>
          <t>Excelente (100%)</t>
        </is>
      </c>
      <c r="C3" s="6" t="inlineStr">
        <is>
          <t>Bueno (75%)</t>
        </is>
      </c>
      <c r="D3" s="6" t="inlineStr">
        <is>
          <t>Suficiente (50%)</t>
        </is>
      </c>
      <c r="E3" s="6" t="inlineStr">
        <is>
          <t>Insuficiente (0-25%)</t>
        </is>
      </c>
      <c r="F3" s="5" t="inlineStr">
        <is>
          <t>Puntaje Máx</t>
        </is>
      </c>
    </row>
    <row r="4" ht="48" customHeight="1">
      <c r="A4" s="14" t="inlineStr">
        <is>
          <t>1. Key Light (Luz Principal)</t>
        </is>
      </c>
      <c r="B4" s="15" t="inlineStr">
        <is>
          <t>Posicionada a ~45° lateral y cenital. Define claramente el modelado volumétrico, contraste y dirección de sombras sin sobreexponer.</t>
        </is>
      </c>
      <c r="C4" s="15" t="inlineStr">
        <is>
          <t>Posicionada adecuadamente pero con leve descalibración de intensidad (zonas ligeramente quemadas o sombra poco definida).</t>
        </is>
      </c>
      <c r="D4" s="15" t="inlineStr">
        <is>
          <t>Ubicación incorrecta o intensidad muy baja/alta, afectando la lectura del volumen del objeto.</t>
        </is>
      </c>
      <c r="E4" s="15" t="inlineStr">
        <is>
          <t>Luz ausente, mal orientada o que no cumple el rol de emisor dominante.</t>
        </is>
      </c>
      <c r="F4" s="16" t="inlineStr">
        <is>
          <t>7 pts</t>
        </is>
      </c>
    </row>
    <row r="5" ht="48" customHeight="1">
      <c r="A5" s="14" t="inlineStr">
        <is>
          <t>2. Fill Light (Luz de Relleno)</t>
        </is>
      </c>
      <c r="B5" s="15" t="inlineStr">
        <is>
          <t>Ubicada en el flanco opuesto. Intensidad calibrada (25-40% de Key). Suaviza sombras duras rescatando información sin generar sombras cruzadas.</t>
        </is>
      </c>
      <c r="C5" s="15" t="inlineStr">
        <is>
          <t>Ubicada correctamente pero su intensidad compite con Key (&gt;50%) o es demasiado tenue (&lt;15%).</t>
        </is>
      </c>
      <c r="D5" s="15" t="inlineStr">
        <is>
          <t>Genera sombras cruzadas notorias o no logra levantar la penumbra del lado oscuro.</t>
        </is>
      </c>
      <c r="E5" s="15" t="inlineStr">
        <is>
          <t>Ausente o colocada en posición errónea que anula el contraste del esquema.</t>
        </is>
      </c>
      <c r="F5" s="16" t="inlineStr">
        <is>
          <t>7 pts</t>
        </is>
      </c>
    </row>
    <row r="6" ht="48" customHeight="1">
      <c r="A6" s="14" t="inlineStr">
        <is>
          <t>3. Rim Light (Contraluz)</t>
        </is>
      </c>
      <c r="B6" s="15" t="inlineStr">
        <is>
          <t>Ubicada detrás del sujeto. Dibuja un filete brillante limpio y continuo en bordes y hombros, separando perfectamente del fondo oscuro.</t>
        </is>
      </c>
      <c r="C6" s="15" t="inlineStr">
        <is>
          <t>Presente y bien ubicada, pero con intensidad algo excesiva (quema el contorno) o muy tenue.</t>
        </is>
      </c>
      <c r="D6" s="15" t="inlineStr">
        <is>
          <t>Posición deficiente; solo ilumina una fracción menor del borde sin lograr despegar el modelo.</t>
        </is>
      </c>
      <c r="E6" s="15" t="inlineStr">
        <is>
          <t>Ausente o no genera contraste de silueta respecto al fondo.</t>
        </is>
      </c>
      <c r="F6" s="16" t="inlineStr">
        <is>
          <t>6 pts</t>
        </is>
      </c>
    </row>
    <row r="7" ht="48" customHeight="1">
      <c r="A7" s="14" t="inlineStr">
        <is>
          <t>4. Material PBR y Texturizado</t>
        </is>
      </c>
      <c r="B7" s="15" t="inlineStr">
        <is>
          <t>Mapas de textura (BaseColor, Normal, ORM) asignados correctamente. Respuesta física coherente y verosímil según el material.</t>
        </is>
      </c>
      <c r="C7" s="15" t="inlineStr">
        <is>
          <t>Texturas bien asignadas pero con leves desajustes en el balance de rugosidad o fuerza de normales.</t>
        </is>
      </c>
      <c r="D7" s="15" t="inlineStr">
        <is>
          <t>Errores en la asignación de canales (ej. Normal Map invertido o rugosidad no calibrada).</t>
        </is>
      </c>
      <c r="E7" s="15" t="inlineStr">
        <is>
          <t>Material plano sin mapas PBR o texturas con sombras pintadas a mano que rompen el PBR.</t>
        </is>
      </c>
      <c r="F7" s="16" t="inlineStr">
        <is>
          <t>15 pts</t>
        </is>
      </c>
    </row>
    <row r="8" ht="48" customHeight="1">
      <c r="A8" s="14" t="inlineStr">
        <is>
          <t>5. Arquitectura del Shader e Instancias</t>
        </is>
      </c>
      <c r="B8" s="15" t="inlineStr">
        <is>
          <t>Construcción correcta de Master Material (M_) y derivación a Instancia (MI_). Presenta 3 o más parámetros expuestos y funcionales en tiempo real.</t>
        </is>
      </c>
      <c r="C8" s="15" t="inlineStr">
        <is>
          <t>Presenta Master e Instancia, pero solo 2 parámetros funcionan correctamente o su nomenclatura es genérica.</t>
        </is>
      </c>
      <c r="D8" s="15" t="inlineStr">
        <is>
          <t>Material con solo 1 parámetro expuesto o no utiliza el flujo de instancias (modifica el shader base).</t>
        </is>
      </c>
      <c r="E8" s="15" t="inlineStr">
        <is>
          <t>No utiliza instancias de material ni expone parámetros escalares/vectoriales.</t>
        </is>
      </c>
      <c r="F8" s="16" t="inlineStr">
        <is>
          <t>15 pts</t>
        </is>
      </c>
    </row>
    <row r="9" ht="48" customHeight="1">
      <c r="A9" s="14" t="inlineStr">
        <is>
          <t>6. Nomenclatura, Orden y Presentación</t>
        </is>
      </c>
      <c r="B9" s="15" t="inlineStr">
        <is>
          <t>Proyecto ordenado con nomenclatura estándar de la industria (M_, MI_, T_, SM_, L_). Outliner limpio. Renders nítidos y bien encuadrados.</t>
        </is>
      </c>
      <c r="C9" s="15" t="inlineStr">
        <is>
          <t>Proyecto comprensible pero con descuidos menores en nomenclatura o carpetas.</t>
        </is>
      </c>
      <c r="D9" s="15" t="inlineStr">
        <is>
          <t>Desorden evidente en el árbol de contenido o nombres por defecto (NewMaterial, PointLight1).</t>
        </is>
      </c>
      <c r="E9" s="15" t="inlineStr">
        <is>
          <t>Proyecto desorganizado, archivos rotos o faltan capturas solicitadas.</t>
        </is>
      </c>
      <c r="F9" s="16" t="inlineStr">
        <is>
          <t>10 pts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30" customWidth="1" min="4" max="4"/>
  </cols>
  <sheetData>
    <row r="1">
      <c r="A1" s="17" t="inlineStr">
        <is>
          <t>TABLA DE CONVERSIÓN OFICIAL: PUNTAJE A NOTA CHILENA (1.0 A 7.0 AL 60%)</t>
        </is>
      </c>
    </row>
    <row r="3" ht="24" customHeight="1">
      <c r="A3" s="18" t="inlineStr">
        <is>
          <t>Puntaje (pts)</t>
        </is>
      </c>
      <c r="B3" s="18" t="inlineStr">
        <is>
          <t>% Logro</t>
        </is>
      </c>
      <c r="C3" s="18" t="inlineStr">
        <is>
          <t>Nota Final</t>
        </is>
      </c>
      <c r="D3" s="19" t="inlineStr">
        <is>
          <t>Nivel de Desempeño</t>
        </is>
      </c>
    </row>
    <row r="4" ht="18" customHeight="1">
      <c r="A4" s="12" t="n">
        <v>60</v>
      </c>
      <c r="B4" s="20" t="inlineStr">
        <is>
          <t>100.0%</t>
        </is>
      </c>
      <c r="C4" s="21" t="n">
        <v>7</v>
      </c>
      <c r="D4" s="22" t="inlineStr">
        <is>
          <t>Sobresaliente</t>
        </is>
      </c>
    </row>
    <row r="5" ht="18" customHeight="1">
      <c r="A5" s="12" t="n">
        <v>59</v>
      </c>
      <c r="B5" s="20" t="inlineStr">
        <is>
          <t>98.3%</t>
        </is>
      </c>
      <c r="C5" s="21" t="n">
        <v>6.9</v>
      </c>
      <c r="D5" s="22" t="inlineStr">
        <is>
          <t>Sobresaliente</t>
        </is>
      </c>
    </row>
    <row r="6" ht="18" customHeight="1">
      <c r="A6" s="12" t="n">
        <v>58</v>
      </c>
      <c r="B6" s="20" t="inlineStr">
        <is>
          <t>96.7%</t>
        </is>
      </c>
      <c r="C6" s="21" t="n">
        <v>6.8</v>
      </c>
      <c r="D6" s="22" t="inlineStr">
        <is>
          <t>Sobresaliente</t>
        </is>
      </c>
    </row>
    <row r="7" ht="18" customHeight="1">
      <c r="A7" s="12" t="n">
        <v>57</v>
      </c>
      <c r="B7" s="20" t="inlineStr">
        <is>
          <t>95.0%</t>
        </is>
      </c>
      <c r="C7" s="21" t="n">
        <v>6.6</v>
      </c>
      <c r="D7" s="22" t="inlineStr">
        <is>
          <t>Sobresaliente</t>
        </is>
      </c>
    </row>
    <row r="8" ht="18" customHeight="1">
      <c r="A8" s="12" t="n">
        <v>56</v>
      </c>
      <c r="B8" s="20" t="inlineStr">
        <is>
          <t>93.3%</t>
        </is>
      </c>
      <c r="C8" s="21" t="n">
        <v>6.5</v>
      </c>
      <c r="D8" s="22" t="inlineStr">
        <is>
          <t>Sobresaliente</t>
        </is>
      </c>
    </row>
    <row r="9" ht="18" customHeight="1">
      <c r="A9" s="12" t="n">
        <v>55</v>
      </c>
      <c r="B9" s="20" t="inlineStr">
        <is>
          <t>91.7%</t>
        </is>
      </c>
      <c r="C9" s="21" t="n">
        <v>6.4</v>
      </c>
      <c r="D9" s="22" t="inlineStr">
        <is>
          <t>Muy Bueno</t>
        </is>
      </c>
    </row>
    <row r="10" ht="18" customHeight="1">
      <c r="A10" s="12" t="n">
        <v>54</v>
      </c>
      <c r="B10" s="20" t="inlineStr">
        <is>
          <t>90.0%</t>
        </is>
      </c>
      <c r="C10" s="21" t="n">
        <v>6.2</v>
      </c>
      <c r="D10" s="22" t="inlineStr">
        <is>
          <t>Muy Bueno</t>
        </is>
      </c>
    </row>
    <row r="11" ht="18" customHeight="1">
      <c r="A11" s="12" t="n">
        <v>53</v>
      </c>
      <c r="B11" s="20" t="inlineStr">
        <is>
          <t>88.3%</t>
        </is>
      </c>
      <c r="C11" s="21" t="n">
        <v>6.1</v>
      </c>
      <c r="D11" s="22" t="inlineStr">
        <is>
          <t>Muy Bueno</t>
        </is>
      </c>
    </row>
    <row r="12" ht="18" customHeight="1">
      <c r="A12" s="12" t="n">
        <v>52</v>
      </c>
      <c r="B12" s="20" t="inlineStr">
        <is>
          <t>86.7%</t>
        </is>
      </c>
      <c r="C12" s="21" t="n">
        <v>6</v>
      </c>
      <c r="D12" s="22" t="inlineStr">
        <is>
          <t>Muy Bueno</t>
        </is>
      </c>
    </row>
    <row r="13" ht="18" customHeight="1">
      <c r="A13" s="12" t="n">
        <v>51</v>
      </c>
      <c r="B13" s="20" t="inlineStr">
        <is>
          <t>85.0%</t>
        </is>
      </c>
      <c r="C13" s="21" t="n">
        <v>5.9</v>
      </c>
      <c r="D13" s="22" t="inlineStr">
        <is>
          <t>Muy Bueno</t>
        </is>
      </c>
    </row>
    <row r="14" ht="18" customHeight="1">
      <c r="A14" s="12" t="n">
        <v>50</v>
      </c>
      <c r="B14" s="20" t="inlineStr">
        <is>
          <t>83.3%</t>
        </is>
      </c>
      <c r="C14" s="21" t="n">
        <v>5.8</v>
      </c>
      <c r="D14" s="22" t="inlineStr">
        <is>
          <t>Muy Bueno</t>
        </is>
      </c>
    </row>
    <row r="15" ht="18" customHeight="1">
      <c r="A15" s="12" t="n">
        <v>49</v>
      </c>
      <c r="B15" s="20" t="inlineStr">
        <is>
          <t>81.7%</t>
        </is>
      </c>
      <c r="C15" s="21" t="n">
        <v>5.6</v>
      </c>
      <c r="D15" s="22" t="inlineStr">
        <is>
          <t>Bueno</t>
        </is>
      </c>
    </row>
    <row r="16" ht="18" customHeight="1">
      <c r="A16" s="12" t="n">
        <v>48</v>
      </c>
      <c r="B16" s="20" t="inlineStr">
        <is>
          <t>80.0%</t>
        </is>
      </c>
      <c r="C16" s="21" t="n">
        <v>5.5</v>
      </c>
      <c r="D16" s="22" t="inlineStr">
        <is>
          <t>Bueno</t>
        </is>
      </c>
    </row>
    <row r="17" ht="18" customHeight="1">
      <c r="A17" s="12" t="n">
        <v>47</v>
      </c>
      <c r="B17" s="20" t="inlineStr">
        <is>
          <t>78.3%</t>
        </is>
      </c>
      <c r="C17" s="21" t="n">
        <v>5.4</v>
      </c>
      <c r="D17" s="22" t="inlineStr">
        <is>
          <t>Bueno</t>
        </is>
      </c>
    </row>
    <row r="18" ht="18" customHeight="1">
      <c r="A18" s="12" t="n">
        <v>46</v>
      </c>
      <c r="B18" s="20" t="inlineStr">
        <is>
          <t>76.7%</t>
        </is>
      </c>
      <c r="C18" s="21" t="n">
        <v>5.2</v>
      </c>
      <c r="D18" s="22" t="inlineStr">
        <is>
          <t>Bueno</t>
        </is>
      </c>
    </row>
    <row r="19" ht="18" customHeight="1">
      <c r="A19" s="12" t="n">
        <v>45</v>
      </c>
      <c r="B19" s="20" t="inlineStr">
        <is>
          <t>75.0%</t>
        </is>
      </c>
      <c r="C19" s="21" t="n">
        <v>5.1</v>
      </c>
      <c r="D19" s="22" t="inlineStr">
        <is>
          <t>Bueno</t>
        </is>
      </c>
    </row>
    <row r="20" ht="18" customHeight="1">
      <c r="A20" s="12" t="n">
        <v>44</v>
      </c>
      <c r="B20" s="20" t="inlineStr">
        <is>
          <t>73.3%</t>
        </is>
      </c>
      <c r="C20" s="21" t="n">
        <v>5</v>
      </c>
      <c r="D20" s="22" t="inlineStr">
        <is>
          <t>Bueno</t>
        </is>
      </c>
    </row>
    <row r="21" ht="18" customHeight="1">
      <c r="A21" s="12" t="n">
        <v>43</v>
      </c>
      <c r="B21" s="20" t="inlineStr">
        <is>
          <t>71.7%</t>
        </is>
      </c>
      <c r="C21" s="21" t="n">
        <v>4.9</v>
      </c>
      <c r="D21" s="22" t="inlineStr">
        <is>
          <t>Aprobado (Suficiente)</t>
        </is>
      </c>
    </row>
    <row r="22" ht="18" customHeight="1">
      <c r="A22" s="12" t="n">
        <v>42</v>
      </c>
      <c r="B22" s="20" t="inlineStr">
        <is>
          <t>70.0%</t>
        </is>
      </c>
      <c r="C22" s="21" t="n">
        <v>4.8</v>
      </c>
      <c r="D22" s="22" t="inlineStr">
        <is>
          <t>Aprobado (Suficiente)</t>
        </is>
      </c>
    </row>
    <row r="23" ht="18" customHeight="1">
      <c r="A23" s="12" t="n">
        <v>41</v>
      </c>
      <c r="B23" s="20" t="inlineStr">
        <is>
          <t>68.3%</t>
        </is>
      </c>
      <c r="C23" s="21" t="n">
        <v>4.6</v>
      </c>
      <c r="D23" s="22" t="inlineStr">
        <is>
          <t>Aprobado (Suficiente)</t>
        </is>
      </c>
    </row>
    <row r="24" ht="18" customHeight="1">
      <c r="A24" s="12" t="n">
        <v>40</v>
      </c>
      <c r="B24" s="20" t="inlineStr">
        <is>
          <t>66.7%</t>
        </is>
      </c>
      <c r="C24" s="21" t="n">
        <v>4.5</v>
      </c>
      <c r="D24" s="22" t="inlineStr">
        <is>
          <t>Aprobado (Suficiente)</t>
        </is>
      </c>
    </row>
    <row r="25" ht="18" customHeight="1">
      <c r="A25" s="12" t="n">
        <v>39</v>
      </c>
      <c r="B25" s="20" t="inlineStr">
        <is>
          <t>65.0%</t>
        </is>
      </c>
      <c r="C25" s="21" t="n">
        <v>4.4</v>
      </c>
      <c r="D25" s="22" t="inlineStr">
        <is>
          <t>Aprobado (Suficiente)</t>
        </is>
      </c>
    </row>
    <row r="26" ht="18" customHeight="1">
      <c r="A26" s="12" t="n">
        <v>38</v>
      </c>
      <c r="B26" s="20" t="inlineStr">
        <is>
          <t>63.3%</t>
        </is>
      </c>
      <c r="C26" s="21" t="n">
        <v>4.2</v>
      </c>
      <c r="D26" s="22" t="inlineStr">
        <is>
          <t>Aprobado (Suficiente)</t>
        </is>
      </c>
    </row>
    <row r="27" ht="18" customHeight="1">
      <c r="A27" s="12" t="n">
        <v>37</v>
      </c>
      <c r="B27" s="20" t="inlineStr">
        <is>
          <t>61.7%</t>
        </is>
      </c>
      <c r="C27" s="21" t="n">
        <v>4.1</v>
      </c>
      <c r="D27" s="22" t="inlineStr">
        <is>
          <t>Aprobado (Suficiente)</t>
        </is>
      </c>
    </row>
    <row r="28" ht="18" customHeight="1">
      <c r="A28" s="12" t="n">
        <v>36</v>
      </c>
      <c r="B28" s="20" t="inlineStr">
        <is>
          <t>60.0%</t>
        </is>
      </c>
      <c r="C28" s="21" t="n">
        <v>4</v>
      </c>
      <c r="D28" s="22" t="inlineStr">
        <is>
          <t>Aprobado (Suficiente)</t>
        </is>
      </c>
    </row>
    <row r="29" ht="18" customHeight="1">
      <c r="A29" s="12" t="n">
        <v>35</v>
      </c>
      <c r="B29" s="20" t="inlineStr">
        <is>
          <t>58.3%</t>
        </is>
      </c>
      <c r="C29" s="23" t="n">
        <v>3.9</v>
      </c>
      <c r="D29" s="22" t="inlineStr">
        <is>
          <t>Reprobado (Insuficiente)</t>
        </is>
      </c>
    </row>
    <row r="30" ht="18" customHeight="1">
      <c r="A30" s="12" t="n">
        <v>34</v>
      </c>
      <c r="B30" s="20" t="inlineStr">
        <is>
          <t>56.7%</t>
        </is>
      </c>
      <c r="C30" s="23" t="n">
        <v>3.8</v>
      </c>
      <c r="D30" s="22" t="inlineStr">
        <is>
          <t>Reprobado (Insuficiente)</t>
        </is>
      </c>
    </row>
    <row r="31" ht="18" customHeight="1">
      <c r="A31" s="12" t="n">
        <v>33</v>
      </c>
      <c r="B31" s="20" t="inlineStr">
        <is>
          <t>55.0%</t>
        </is>
      </c>
      <c r="C31" s="23" t="n">
        <v>3.8</v>
      </c>
      <c r="D31" s="22" t="inlineStr">
        <is>
          <t>Reprobado (Insuficiente)</t>
        </is>
      </c>
    </row>
    <row r="32" ht="18" customHeight="1">
      <c r="A32" s="12" t="n">
        <v>32</v>
      </c>
      <c r="B32" s="20" t="inlineStr">
        <is>
          <t>53.3%</t>
        </is>
      </c>
      <c r="C32" s="23" t="n">
        <v>3.7</v>
      </c>
      <c r="D32" s="22" t="inlineStr">
        <is>
          <t>Reprobado (Insuficiente)</t>
        </is>
      </c>
    </row>
    <row r="33" ht="18" customHeight="1">
      <c r="A33" s="12" t="n">
        <v>31</v>
      </c>
      <c r="B33" s="20" t="inlineStr">
        <is>
          <t>51.7%</t>
        </is>
      </c>
      <c r="C33" s="23" t="n">
        <v>3.6</v>
      </c>
      <c r="D33" s="22" t="inlineStr">
        <is>
          <t>Reprobado (Insuficiente)</t>
        </is>
      </c>
    </row>
    <row r="34" ht="18" customHeight="1">
      <c r="A34" s="12" t="n">
        <v>30</v>
      </c>
      <c r="B34" s="20" t="inlineStr">
        <is>
          <t>50.0%</t>
        </is>
      </c>
      <c r="C34" s="23" t="n">
        <v>3.5</v>
      </c>
      <c r="D34" s="22" t="inlineStr">
        <is>
          <t>Reprobado (Insuficiente)</t>
        </is>
      </c>
    </row>
    <row r="35" ht="18" customHeight="1">
      <c r="A35" s="12" t="n">
        <v>29</v>
      </c>
      <c r="B35" s="20" t="inlineStr">
        <is>
          <t>48.3%</t>
        </is>
      </c>
      <c r="C35" s="23" t="n">
        <v>3.4</v>
      </c>
      <c r="D35" s="22" t="inlineStr">
        <is>
          <t>Reprobado (Insuficiente)</t>
        </is>
      </c>
    </row>
    <row r="36" ht="18" customHeight="1">
      <c r="A36" s="12" t="n">
        <v>28</v>
      </c>
      <c r="B36" s="20" t="inlineStr">
        <is>
          <t>46.7%</t>
        </is>
      </c>
      <c r="C36" s="23" t="n">
        <v>3.3</v>
      </c>
      <c r="D36" s="22" t="inlineStr">
        <is>
          <t>Reprobado (Insuficiente)</t>
        </is>
      </c>
    </row>
    <row r="37" ht="18" customHeight="1">
      <c r="A37" s="12" t="n">
        <v>27</v>
      </c>
      <c r="B37" s="20" t="inlineStr">
        <is>
          <t>45.0%</t>
        </is>
      </c>
      <c r="C37" s="23" t="n">
        <v>3.2</v>
      </c>
      <c r="D37" s="22" t="inlineStr">
        <is>
          <t>Reprobado (Insuficiente)</t>
        </is>
      </c>
    </row>
    <row r="38" ht="18" customHeight="1">
      <c r="A38" s="12" t="n">
        <v>26</v>
      </c>
      <c r="B38" s="20" t="inlineStr">
        <is>
          <t>43.3%</t>
        </is>
      </c>
      <c r="C38" s="23" t="n">
        <v>3.2</v>
      </c>
      <c r="D38" s="22" t="inlineStr">
        <is>
          <t>Reprobado (Insuficiente)</t>
        </is>
      </c>
    </row>
    <row r="39" ht="18" customHeight="1">
      <c r="A39" s="12" t="n">
        <v>25</v>
      </c>
      <c r="B39" s="20" t="inlineStr">
        <is>
          <t>41.7%</t>
        </is>
      </c>
      <c r="C39" s="23" t="n">
        <v>3.1</v>
      </c>
      <c r="D39" s="22" t="inlineStr">
        <is>
          <t>Reprobado (Insuficiente)</t>
        </is>
      </c>
    </row>
    <row r="40" ht="18" customHeight="1">
      <c r="A40" s="12" t="n">
        <v>24</v>
      </c>
      <c r="B40" s="20" t="inlineStr">
        <is>
          <t>40.0%</t>
        </is>
      </c>
      <c r="C40" s="23" t="n">
        <v>3</v>
      </c>
      <c r="D40" s="22" t="inlineStr">
        <is>
          <t>Reprobado (Insuficiente)</t>
        </is>
      </c>
    </row>
    <row r="41" ht="18" customHeight="1">
      <c r="A41" s="12" t="n">
        <v>23</v>
      </c>
      <c r="B41" s="20" t="inlineStr">
        <is>
          <t>38.3%</t>
        </is>
      </c>
      <c r="C41" s="23" t="n">
        <v>2.9</v>
      </c>
      <c r="D41" s="22" t="inlineStr">
        <is>
          <t>Deficiente / Sin Entrega</t>
        </is>
      </c>
    </row>
    <row r="42" ht="18" customHeight="1">
      <c r="A42" s="12" t="n">
        <v>22</v>
      </c>
      <c r="B42" s="20" t="inlineStr">
        <is>
          <t>36.7%</t>
        </is>
      </c>
      <c r="C42" s="23" t="n">
        <v>2.8</v>
      </c>
      <c r="D42" s="22" t="inlineStr">
        <is>
          <t>Deficiente / Sin Entrega</t>
        </is>
      </c>
    </row>
    <row r="43" ht="18" customHeight="1">
      <c r="A43" s="12" t="n">
        <v>21</v>
      </c>
      <c r="B43" s="20" t="inlineStr">
        <is>
          <t>35.0%</t>
        </is>
      </c>
      <c r="C43" s="23" t="n">
        <v>2.8</v>
      </c>
      <c r="D43" s="22" t="inlineStr">
        <is>
          <t>Deficiente / Sin Entrega</t>
        </is>
      </c>
    </row>
    <row r="44" ht="18" customHeight="1">
      <c r="A44" s="12" t="n">
        <v>20</v>
      </c>
      <c r="B44" s="20" t="inlineStr">
        <is>
          <t>33.3%</t>
        </is>
      </c>
      <c r="C44" s="23" t="n">
        <v>2.7</v>
      </c>
      <c r="D44" s="22" t="inlineStr">
        <is>
          <t>Deficiente / Sin Entrega</t>
        </is>
      </c>
    </row>
    <row r="45" ht="18" customHeight="1">
      <c r="A45" s="12" t="n">
        <v>19</v>
      </c>
      <c r="B45" s="20" t="inlineStr">
        <is>
          <t>31.7%</t>
        </is>
      </c>
      <c r="C45" s="23" t="n">
        <v>2.6</v>
      </c>
      <c r="D45" s="22" t="inlineStr">
        <is>
          <t>Deficiente / Sin Entrega</t>
        </is>
      </c>
    </row>
    <row r="46" ht="18" customHeight="1">
      <c r="A46" s="12" t="n">
        <v>18</v>
      </c>
      <c r="B46" s="20" t="inlineStr">
        <is>
          <t>30.0%</t>
        </is>
      </c>
      <c r="C46" s="23" t="n">
        <v>2.5</v>
      </c>
      <c r="D46" s="22" t="inlineStr">
        <is>
          <t>Deficiente / Sin Entrega</t>
        </is>
      </c>
    </row>
    <row r="47" ht="18" customHeight="1">
      <c r="A47" s="12" t="n">
        <v>17</v>
      </c>
      <c r="B47" s="20" t="inlineStr">
        <is>
          <t>28.3%</t>
        </is>
      </c>
      <c r="C47" s="23" t="n">
        <v>2.4</v>
      </c>
      <c r="D47" s="22" t="inlineStr">
        <is>
          <t>Deficiente / Sin Entrega</t>
        </is>
      </c>
    </row>
    <row r="48" ht="18" customHeight="1">
      <c r="A48" s="12" t="n">
        <v>16</v>
      </c>
      <c r="B48" s="20" t="inlineStr">
        <is>
          <t>26.7%</t>
        </is>
      </c>
      <c r="C48" s="23" t="n">
        <v>2.3</v>
      </c>
      <c r="D48" s="22" t="inlineStr">
        <is>
          <t>Deficiente / Sin Entrega</t>
        </is>
      </c>
    </row>
    <row r="49" ht="18" customHeight="1">
      <c r="A49" s="12" t="n">
        <v>15</v>
      </c>
      <c r="B49" s="20" t="inlineStr">
        <is>
          <t>25.0%</t>
        </is>
      </c>
      <c r="C49" s="23" t="n">
        <v>2.2</v>
      </c>
      <c r="D49" s="22" t="inlineStr">
        <is>
          <t>Deficiente / Sin Entrega</t>
        </is>
      </c>
    </row>
    <row r="50" ht="18" customHeight="1">
      <c r="A50" s="12" t="n">
        <v>14</v>
      </c>
      <c r="B50" s="20" t="inlineStr">
        <is>
          <t>23.3%</t>
        </is>
      </c>
      <c r="C50" s="23" t="n">
        <v>2.2</v>
      </c>
      <c r="D50" s="22" t="inlineStr">
        <is>
          <t>Deficiente / Sin Entrega</t>
        </is>
      </c>
    </row>
    <row r="51" ht="18" customHeight="1">
      <c r="A51" s="12" t="n">
        <v>13</v>
      </c>
      <c r="B51" s="20" t="inlineStr">
        <is>
          <t>21.7%</t>
        </is>
      </c>
      <c r="C51" s="23" t="n">
        <v>2.1</v>
      </c>
      <c r="D51" s="22" t="inlineStr">
        <is>
          <t>Deficiente / Sin Entrega</t>
        </is>
      </c>
    </row>
    <row r="52" ht="18" customHeight="1">
      <c r="A52" s="12" t="n">
        <v>12</v>
      </c>
      <c r="B52" s="20" t="inlineStr">
        <is>
          <t>20.0%</t>
        </is>
      </c>
      <c r="C52" s="23" t="n">
        <v>2</v>
      </c>
      <c r="D52" s="22" t="inlineStr">
        <is>
          <t>Deficiente / Sin Entrega</t>
        </is>
      </c>
    </row>
    <row r="53" ht="18" customHeight="1">
      <c r="A53" s="12" t="n">
        <v>11</v>
      </c>
      <c r="B53" s="20" t="inlineStr">
        <is>
          <t>18.3%</t>
        </is>
      </c>
      <c r="C53" s="23" t="n">
        <v>1.9</v>
      </c>
      <c r="D53" s="22" t="inlineStr">
        <is>
          <t>Deficiente / Sin Entrega</t>
        </is>
      </c>
    </row>
    <row r="54" ht="18" customHeight="1">
      <c r="A54" s="12" t="n">
        <v>10</v>
      </c>
      <c r="B54" s="20" t="inlineStr">
        <is>
          <t>16.7%</t>
        </is>
      </c>
      <c r="C54" s="23" t="n">
        <v>1.8</v>
      </c>
      <c r="D54" s="22" t="inlineStr">
        <is>
          <t>Deficiente / Sin Entrega</t>
        </is>
      </c>
    </row>
    <row r="55" ht="18" customHeight="1">
      <c r="A55" s="12" t="n">
        <v>9</v>
      </c>
      <c r="B55" s="20" t="inlineStr">
        <is>
          <t>15.0%</t>
        </is>
      </c>
      <c r="C55" s="23" t="n">
        <v>1.8</v>
      </c>
      <c r="D55" s="22" t="inlineStr">
        <is>
          <t>Deficiente / Sin Entrega</t>
        </is>
      </c>
    </row>
    <row r="56" ht="18" customHeight="1">
      <c r="A56" s="12" t="n">
        <v>8</v>
      </c>
      <c r="B56" s="20" t="inlineStr">
        <is>
          <t>13.3%</t>
        </is>
      </c>
      <c r="C56" s="23" t="n">
        <v>1.7</v>
      </c>
      <c r="D56" s="22" t="inlineStr">
        <is>
          <t>Deficiente / Sin Entrega</t>
        </is>
      </c>
    </row>
    <row r="57" ht="18" customHeight="1">
      <c r="A57" s="12" t="n">
        <v>7</v>
      </c>
      <c r="B57" s="20" t="inlineStr">
        <is>
          <t>11.7%</t>
        </is>
      </c>
      <c r="C57" s="23" t="n">
        <v>1.6</v>
      </c>
      <c r="D57" s="22" t="inlineStr">
        <is>
          <t>Deficiente / Sin Entrega</t>
        </is>
      </c>
    </row>
    <row r="58" ht="18" customHeight="1">
      <c r="A58" s="12" t="n">
        <v>6</v>
      </c>
      <c r="B58" s="20" t="inlineStr">
        <is>
          <t>10.0%</t>
        </is>
      </c>
      <c r="C58" s="23" t="n">
        <v>1.5</v>
      </c>
      <c r="D58" s="22" t="inlineStr">
        <is>
          <t>Deficiente / Sin Entrega</t>
        </is>
      </c>
    </row>
    <row r="59" ht="18" customHeight="1">
      <c r="A59" s="12" t="n">
        <v>5</v>
      </c>
      <c r="B59" s="20" t="inlineStr">
        <is>
          <t>8.3%</t>
        </is>
      </c>
      <c r="C59" s="23" t="n">
        <v>1.4</v>
      </c>
      <c r="D59" s="22" t="inlineStr">
        <is>
          <t>Deficiente / Sin Entrega</t>
        </is>
      </c>
    </row>
    <row r="60" ht="18" customHeight="1">
      <c r="A60" s="12" t="n">
        <v>4</v>
      </c>
      <c r="B60" s="20" t="inlineStr">
        <is>
          <t>6.7%</t>
        </is>
      </c>
      <c r="C60" s="23" t="n">
        <v>1.3</v>
      </c>
      <c r="D60" s="22" t="inlineStr">
        <is>
          <t>Deficiente / Sin Entrega</t>
        </is>
      </c>
    </row>
    <row r="61" ht="18" customHeight="1">
      <c r="A61" s="12" t="n">
        <v>3</v>
      </c>
      <c r="B61" s="20" t="inlineStr">
        <is>
          <t>5.0%</t>
        </is>
      </c>
      <c r="C61" s="23" t="n">
        <v>1.2</v>
      </c>
      <c r="D61" s="22" t="inlineStr">
        <is>
          <t>Deficiente / Sin Entrega</t>
        </is>
      </c>
    </row>
    <row r="62" ht="18" customHeight="1">
      <c r="A62" s="12" t="n">
        <v>2</v>
      </c>
      <c r="B62" s="20" t="inlineStr">
        <is>
          <t>3.3%</t>
        </is>
      </c>
      <c r="C62" s="23" t="n">
        <v>1.2</v>
      </c>
      <c r="D62" s="22" t="inlineStr">
        <is>
          <t>Deficiente / Sin Entrega</t>
        </is>
      </c>
    </row>
    <row r="63" ht="18" customHeight="1">
      <c r="A63" s="12" t="n">
        <v>1</v>
      </c>
      <c r="B63" s="20" t="inlineStr">
        <is>
          <t>1.7%</t>
        </is>
      </c>
      <c r="C63" s="23" t="n">
        <v>1.1</v>
      </c>
      <c r="D63" s="22" t="inlineStr">
        <is>
          <t>Deficiente / Sin Entrega</t>
        </is>
      </c>
    </row>
    <row r="64" ht="18" customHeight="1">
      <c r="A64" s="12" t="n">
        <v>0</v>
      </c>
      <c r="B64" s="20" t="inlineStr">
        <is>
          <t>0.0%</t>
        </is>
      </c>
      <c r="C64" s="23" t="n">
        <v>1</v>
      </c>
      <c r="D64" s="22" t="inlineStr">
        <is>
          <t>Deficiente / Sin Entrega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2026-09-29T12:04:57Z</dcterms:created>
  <dcterms:modified xmlns:dcterms="http://purl.org/dc/terms/" xmlns:xsi="http://www.w3.org/2001/XMLSchema-instance" xsi:type="dcterms:W3CDTF">2026-09-29T12:04:57Z</dcterms:modified>
</cp:coreProperties>
</file>