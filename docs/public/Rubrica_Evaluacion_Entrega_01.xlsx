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la_Notas" sheetId="1" state="visible" r:id="rId1"/>
    <sheet xmlns:r="http://schemas.openxmlformats.org/officeDocument/2006/relationships" name="Matriz_Rubrica" sheetId="2" state="visible" r:id="rId2"/>
    <sheet xmlns:r="http://schemas.openxmlformats.org/officeDocument/2006/relationships" name="Escala_Con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family val="2"/>
      <color theme="1"/>
      <sz val="11"/>
      <scheme val="minor"/>
    </font>
    <font>
      <name val="Segoe UI"/>
      <b val="1"/>
      <color rgb="000F172A"/>
      <sz val="14"/>
    </font>
    <font>
      <name val="Segoe UI"/>
      <i val="1"/>
      <color rgb="00475569"/>
      <sz val="10"/>
    </font>
    <font>
      <name val="Segoe UI"/>
      <b val="1"/>
      <color rgb="00475569"/>
      <sz val="9"/>
    </font>
    <font>
      <name val="Segoe UI"/>
      <b val="1"/>
      <color rgb="000F172A"/>
      <sz val="10"/>
    </font>
    <font>
      <name val="Segoe UI"/>
      <b val="1"/>
      <color rgb="00FFFFFF"/>
      <sz val="11"/>
    </font>
    <font>
      <name val="Segoe UI"/>
      <color rgb="0064748B"/>
      <sz val="10"/>
    </font>
    <font>
      <name val="Segoe UI"/>
      <color rgb="000F172A"/>
      <sz val="10"/>
    </font>
    <font>
      <name val="Segoe UI"/>
      <b val="1"/>
      <color rgb="000F172A"/>
      <sz val="11"/>
    </font>
    <font>
      <name val="Segoe UI"/>
      <b val="1"/>
      <sz val="9"/>
    </font>
    <font>
      <name val="Segoe UI"/>
      <color rgb="00334155"/>
      <sz val="9.5"/>
    </font>
    <font>
      <name val="Segoe UI"/>
      <b val="1"/>
      <color rgb="000F172A"/>
      <sz val="13"/>
    </font>
    <font>
      <name val="Segoe UI"/>
      <color rgb="000F172A"/>
      <sz val="9.5"/>
    </font>
    <font>
      <name val="Segoe UI"/>
      <b val="1"/>
      <color rgb="000F172A"/>
      <sz val="9.5"/>
    </font>
    <font>
      <name val="Segoe UI"/>
      <b val="1"/>
      <color rgb="000F172A"/>
      <sz val="12"/>
    </font>
    <font>
      <name val="Segoe UI"/>
      <b val="1"/>
      <sz val="9.5"/>
    </font>
    <font>
      <name val="Segoe UI"/>
      <sz val="9"/>
    </font>
    <font>
      <name val="Segoe UI"/>
      <b val="1"/>
      <color rgb="00166534"/>
      <sz val="10"/>
    </font>
    <font>
      <name val="Segoe UI"/>
      <b val="1"/>
      <color rgb="00991B1B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13" fillId="3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164" fontId="17" fillId="4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164" fontId="18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 outlineLevelCol="0"/>
  <cols>
    <col width="5" customWidth="1" min="1" max="1"/>
    <col width="28" customWidth="1" min="2" max="2"/>
    <col width="12" customWidth="1" min="3" max="3"/>
    <col width="12" customWidth="1" min="4" max="4"/>
    <col width="12" customWidth="1" min="5" max="5"/>
    <col width="14" customWidth="1" min="6" max="6"/>
    <col width="17" customWidth="1" min="7" max="7"/>
    <col width="15" customWidth="1" min="8" max="8"/>
    <col width="14" customWidth="1" min="9" max="9"/>
    <col width="13" customWidth="1" min="10" max="10"/>
    <col width="14" customWidth="1" min="11" max="11"/>
    <col width="38" customWidth="1" min="12" max="12"/>
  </cols>
  <sheetData>
    <row r="1">
      <c r="A1" s="1" t="inlineStr">
        <is>
          <t>EVALUACIÓN ENTREGA N°1: ILUMINACIÓN 3-POINT Y SHADER PARAMÉTRICO PBR</t>
        </is>
      </c>
    </row>
    <row r="2">
      <c r="A2" s="2" t="inlineStr">
        <is>
          <t>Asignatura: Iluminación 3D y Shaders · Docente: Daniel Rojas (UNIACC) · Escala: 1.0 a 7.0 al 60% de Exigencia (36 pts = 4.0)</t>
        </is>
      </c>
    </row>
    <row r="4">
      <c r="B4" s="3" t="inlineStr">
        <is>
          <t>Promedio Curso:</t>
        </is>
      </c>
      <c r="C4" s="4">
        <f>IFERROR(ROUND(AVERAGE(J6:J35), 1), "-")</f>
        <v/>
      </c>
      <c r="D4" s="3" t="inlineStr">
        <is>
          <t>Tasa Aprobación:</t>
        </is>
      </c>
      <c r="E4" s="4">
        <f>IFERROR(TEXT(COUNTIF(K6:K35, "APROBADO")/MAX(1, COUNTA(B6:B35)), "0.0%"), "0%")</f>
        <v/>
      </c>
      <c r="F4" s="3" t="inlineStr">
        <is>
          <t>Aprobados / Reprobados:</t>
        </is>
      </c>
      <c r="G4" s="4">
        <f>COUNTIF(K6:K35, "APROBADO") &amp; " / " &amp; COUNTIF(K6:K35, "REPROBADO")</f>
        <v/>
      </c>
      <c r="H4" s="3" t="inlineStr">
        <is>
          <t>Puntaje Máx / Mín:</t>
        </is>
      </c>
      <c r="I4" s="4">
        <f>IFERROR(MAX(I6:I35) &amp; " / " &amp; MIN(I6:I35), "-")</f>
        <v/>
      </c>
      <c r="J4" s="3" t="inlineStr">
        <is>
          <t>Nota Máx / Mín:</t>
        </is>
      </c>
      <c r="K4" s="4">
        <f>IFERROR(MAX(J6:J35) &amp; " / " &amp; MIN(J6:J35), "-")</f>
        <v/>
      </c>
    </row>
    <row r="5" ht="32" customHeight="1">
      <c r="A5" s="5" t="inlineStr">
        <is>
          <t>N°</t>
        </is>
      </c>
      <c r="B5" s="6" t="inlineStr">
        <is>
          <t>Estudiante (Nombre Completo)</t>
        </is>
      </c>
      <c r="C5" s="5" t="inlineStr">
        <is>
          <t>Key Light
(Máx 7)</t>
        </is>
      </c>
      <c r="D5" s="5" t="inlineStr">
        <is>
          <t>Fill Light
(Máx 7)</t>
        </is>
      </c>
      <c r="E5" s="5" t="inlineStr">
        <is>
          <t>Rim Light
(Máx 6)</t>
        </is>
      </c>
      <c r="F5" s="5" t="inlineStr">
        <is>
          <t>Material PBR
(Máx 15)</t>
        </is>
      </c>
      <c r="G5" s="5" t="inlineStr">
        <is>
          <t>Shader Instancias
(Máx 15)</t>
        </is>
      </c>
      <c r="H5" s="5" t="inlineStr">
        <is>
          <t>Orden / Nombres
(Máx 10)</t>
        </is>
      </c>
      <c r="I5" s="5" t="inlineStr">
        <is>
          <t>Puntaje Total
(Máx 60)</t>
        </is>
      </c>
      <c r="J5" s="5" t="inlineStr">
        <is>
          <t>Nota Final
(1.0 - 7.0)</t>
        </is>
      </c>
      <c r="K5" s="5" t="inlineStr">
        <is>
          <t>Estado</t>
        </is>
      </c>
      <c r="L5" s="6" t="inlineStr">
        <is>
          <t>Observaciones y Retroalimentación Docente</t>
        </is>
      </c>
    </row>
    <row r="6" ht="20" customHeight="1">
      <c r="A6" s="7" t="n">
        <v>1</v>
      </c>
      <c r="B6" s="8" t="inlineStr">
        <is>
          <t>Estudiante Ejemplo 1 (Aprobado)</t>
        </is>
      </c>
      <c r="C6" s="9" t="n">
        <v>7</v>
      </c>
      <c r="D6" s="9" t="n">
        <v>6</v>
      </c>
      <c r="E6" s="9" t="n">
        <v>6</v>
      </c>
      <c r="F6" s="9" t="n">
        <v>14</v>
      </c>
      <c r="G6" s="9" t="n">
        <v>15</v>
      </c>
      <c r="H6" s="9" t="n">
        <v>9</v>
      </c>
      <c r="I6" s="10">
        <f>IF(COUNTA(C6:H6)&gt;0, SUM(C6:H6), "")</f>
        <v/>
      </c>
      <c r="J6" s="11">
        <f>IF(I6="","",ROUND(IF(I6&lt;36, 1 + 3*(I6/36), 4 + 3*((I6-36)/24)), 1))</f>
        <v/>
      </c>
      <c r="K6" s="12">
        <f>IF(J6="","",IF(J6&gt;=4.0,"APROBADO","REPROBADO"))</f>
        <v/>
      </c>
      <c r="L6" s="13" t="inlineStr">
        <is>
          <t>Excelente control del modelado y shader PBR bien instanciado.</t>
        </is>
      </c>
    </row>
    <row r="7" ht="20" customHeight="1">
      <c r="A7" s="7" t="n">
        <v>2</v>
      </c>
      <c r="B7" s="8" t="inlineStr">
        <is>
          <t>Estudiante Ejemplo 2 (Para Revisión)</t>
        </is>
      </c>
      <c r="C7" s="9" t="n">
        <v>4</v>
      </c>
      <c r="D7" s="9" t="n">
        <v>3</v>
      </c>
      <c r="E7" s="9" t="n">
        <v>2</v>
      </c>
      <c r="F7" s="9" t="n">
        <v>10</v>
      </c>
      <c r="G7" s="9" t="n">
        <v>8</v>
      </c>
      <c r="H7" s="9" t="n">
        <v>5</v>
      </c>
      <c r="I7" s="10">
        <f>IF(COUNTA(C7:H7)&gt;0, SUM(C7:H7), "")</f>
        <v/>
      </c>
      <c r="J7" s="11">
        <f>IF(I7="","",ROUND(IF(I7&lt;36, 1 + 3*(I7/36), 4 + 3*((I7-36)/24)), 1))</f>
        <v/>
      </c>
      <c r="K7" s="12">
        <f>IF(J7="","",IF(J7&gt;=4.0,"APROBADO","REPROBADO"))</f>
        <v/>
      </c>
      <c r="L7" s="13" t="inlineStr">
        <is>
          <t>Fill light compite con la Key. Faltan parámetros expuestos en la instancia.</t>
        </is>
      </c>
    </row>
    <row r="8" ht="20" customHeight="1">
      <c r="A8" s="7" t="n">
        <v>3</v>
      </c>
      <c r="B8" s="8" t="n"/>
      <c r="C8" s="9" t="n"/>
      <c r="D8" s="9" t="n"/>
      <c r="E8" s="9" t="n"/>
      <c r="F8" s="9" t="n"/>
      <c r="G8" s="9" t="n"/>
      <c r="H8" s="9" t="n"/>
      <c r="I8" s="10">
        <f>IF(COUNTA(C8:H8)&gt;0, SUM(C8:H8), "")</f>
        <v/>
      </c>
      <c r="J8" s="11">
        <f>IF(I8="","",ROUND(IF(I8&lt;36, 1 + 3*(I8/36), 4 + 3*((I8-36)/24)), 1))</f>
        <v/>
      </c>
      <c r="K8" s="12">
        <f>IF(J8="","",IF(J8&gt;=4.0,"APROBADO","REPROBADO"))</f>
        <v/>
      </c>
      <c r="L8" s="13" t="n"/>
    </row>
    <row r="9" ht="20" customHeight="1">
      <c r="A9" s="7" t="n">
        <v>4</v>
      </c>
      <c r="B9" s="8" t="n"/>
      <c r="C9" s="9" t="n"/>
      <c r="D9" s="9" t="n"/>
      <c r="E9" s="9" t="n"/>
      <c r="F9" s="9" t="n"/>
      <c r="G9" s="9" t="n"/>
      <c r="H9" s="9" t="n"/>
      <c r="I9" s="10">
        <f>IF(COUNTA(C9:H9)&gt;0, SUM(C9:H9), "")</f>
        <v/>
      </c>
      <c r="J9" s="11">
        <f>IF(I9="","",ROUND(IF(I9&lt;36, 1 + 3*(I9/36), 4 + 3*((I9-36)/24)), 1))</f>
        <v/>
      </c>
      <c r="K9" s="12">
        <f>IF(J9="","",IF(J9&gt;=4.0,"APROBADO","REPROBADO"))</f>
        <v/>
      </c>
      <c r="L9" s="13" t="n"/>
    </row>
    <row r="10" ht="20" customHeight="1">
      <c r="A10" s="7" t="n">
        <v>5</v>
      </c>
      <c r="B10" s="8" t="n"/>
      <c r="C10" s="9" t="n"/>
      <c r="D10" s="9" t="n"/>
      <c r="E10" s="9" t="n"/>
      <c r="F10" s="9" t="n"/>
      <c r="G10" s="9" t="n"/>
      <c r="H10" s="9" t="n"/>
      <c r="I10" s="10">
        <f>IF(COUNTA(C10:H10)&gt;0, SUM(C10:H10), "")</f>
        <v/>
      </c>
      <c r="J10" s="11">
        <f>IF(I10="","",ROUND(IF(I10&lt;36, 1 + 3*(I10/36), 4 + 3*((I10-36)/24)), 1))</f>
        <v/>
      </c>
      <c r="K10" s="12">
        <f>IF(J10="","",IF(J10&gt;=4.0,"APROBADO","REPROBADO"))</f>
        <v/>
      </c>
      <c r="L10" s="13" t="n"/>
    </row>
    <row r="11" ht="20" customHeight="1">
      <c r="A11" s="7" t="n">
        <v>6</v>
      </c>
      <c r="B11" s="8" t="n"/>
      <c r="C11" s="9" t="n"/>
      <c r="D11" s="9" t="n"/>
      <c r="E11" s="9" t="n"/>
      <c r="F11" s="9" t="n"/>
      <c r="G11" s="9" t="n"/>
      <c r="H11" s="9" t="n"/>
      <c r="I11" s="10">
        <f>IF(COUNTA(C11:H11)&gt;0, SUM(C11:H11), "")</f>
        <v/>
      </c>
      <c r="J11" s="11">
        <f>IF(I11="","",ROUND(IF(I11&lt;36, 1 + 3*(I11/36), 4 + 3*((I11-36)/24)), 1))</f>
        <v/>
      </c>
      <c r="K11" s="12">
        <f>IF(J11="","",IF(J11&gt;=4.0,"APROBADO","REPROBADO"))</f>
        <v/>
      </c>
      <c r="L11" s="13" t="n"/>
    </row>
    <row r="12" ht="20" customHeight="1">
      <c r="A12" s="7" t="n">
        <v>7</v>
      </c>
      <c r="B12" s="8" t="n"/>
      <c r="C12" s="9" t="n"/>
      <c r="D12" s="9" t="n"/>
      <c r="E12" s="9" t="n"/>
      <c r="F12" s="9" t="n"/>
      <c r="G12" s="9" t="n"/>
      <c r="H12" s="9" t="n"/>
      <c r="I12" s="10">
        <f>IF(COUNTA(C12:H12)&gt;0, SUM(C12:H12), "")</f>
        <v/>
      </c>
      <c r="J12" s="11">
        <f>IF(I12="","",ROUND(IF(I12&lt;36, 1 + 3*(I12/36), 4 + 3*((I12-36)/24)), 1))</f>
        <v/>
      </c>
      <c r="K12" s="12">
        <f>IF(J12="","",IF(J12&gt;=4.0,"APROBADO","REPROBADO"))</f>
        <v/>
      </c>
      <c r="L12" s="13" t="n"/>
    </row>
    <row r="13" ht="20" customHeight="1">
      <c r="A13" s="7" t="n">
        <v>8</v>
      </c>
      <c r="B13" s="8" t="n"/>
      <c r="C13" s="9" t="n"/>
      <c r="D13" s="9" t="n"/>
      <c r="E13" s="9" t="n"/>
      <c r="F13" s="9" t="n"/>
      <c r="G13" s="9" t="n"/>
      <c r="H13" s="9" t="n"/>
      <c r="I13" s="10">
        <f>IF(COUNTA(C13:H13)&gt;0, SUM(C13:H13), "")</f>
        <v/>
      </c>
      <c r="J13" s="11">
        <f>IF(I13="","",ROUND(IF(I13&lt;36, 1 + 3*(I13/36), 4 + 3*((I13-36)/24)), 1))</f>
        <v/>
      </c>
      <c r="K13" s="12">
        <f>IF(J13="","",IF(J13&gt;=4.0,"APROBADO","REPROBADO"))</f>
        <v/>
      </c>
      <c r="L13" s="13" t="n"/>
    </row>
    <row r="14" ht="20" customHeight="1">
      <c r="A14" s="7" t="n">
        <v>9</v>
      </c>
      <c r="B14" s="8" t="n"/>
      <c r="C14" s="9" t="n"/>
      <c r="D14" s="9" t="n"/>
      <c r="E14" s="9" t="n"/>
      <c r="F14" s="9" t="n"/>
      <c r="G14" s="9" t="n"/>
      <c r="H14" s="9" t="n"/>
      <c r="I14" s="10">
        <f>IF(COUNTA(C14:H14)&gt;0, SUM(C14:H14), "")</f>
        <v/>
      </c>
      <c r="J14" s="11">
        <f>IF(I14="","",ROUND(IF(I14&lt;36, 1 + 3*(I14/36), 4 + 3*((I14-36)/24)), 1))</f>
        <v/>
      </c>
      <c r="K14" s="12">
        <f>IF(J14="","",IF(J14&gt;=4.0,"APROBADO","REPROBADO"))</f>
        <v/>
      </c>
      <c r="L14" s="13" t="n"/>
    </row>
    <row r="15" ht="20" customHeight="1">
      <c r="A15" s="7" t="n">
        <v>10</v>
      </c>
      <c r="B15" s="8" t="n"/>
      <c r="C15" s="9" t="n"/>
      <c r="D15" s="9" t="n"/>
      <c r="E15" s="9" t="n"/>
      <c r="F15" s="9" t="n"/>
      <c r="G15" s="9" t="n"/>
      <c r="H15" s="9" t="n"/>
      <c r="I15" s="10">
        <f>IF(COUNTA(C15:H15)&gt;0, SUM(C15:H15), "")</f>
        <v/>
      </c>
      <c r="J15" s="11">
        <f>IF(I15="","",ROUND(IF(I15&lt;36, 1 + 3*(I15/36), 4 + 3*((I15-36)/24)), 1))</f>
        <v/>
      </c>
      <c r="K15" s="12">
        <f>IF(J15="","",IF(J15&gt;=4.0,"APROBADO","REPROBADO"))</f>
        <v/>
      </c>
      <c r="L15" s="13" t="n"/>
    </row>
    <row r="16" ht="20" customHeight="1">
      <c r="A16" s="7" t="n">
        <v>11</v>
      </c>
      <c r="B16" s="8" t="n"/>
      <c r="C16" s="9" t="n"/>
      <c r="D16" s="9" t="n"/>
      <c r="E16" s="9" t="n"/>
      <c r="F16" s="9" t="n"/>
      <c r="G16" s="9" t="n"/>
      <c r="H16" s="9" t="n"/>
      <c r="I16" s="10">
        <f>IF(COUNTA(C16:H16)&gt;0, SUM(C16:H16), "")</f>
        <v/>
      </c>
      <c r="J16" s="11">
        <f>IF(I16="","",ROUND(IF(I16&lt;36, 1 + 3*(I16/36), 4 + 3*((I16-36)/24)), 1))</f>
        <v/>
      </c>
      <c r="K16" s="12">
        <f>IF(J16="","",IF(J16&gt;=4.0,"APROBADO","REPROBADO"))</f>
        <v/>
      </c>
      <c r="L16" s="13" t="n"/>
    </row>
    <row r="17" ht="20" customHeight="1">
      <c r="A17" s="7" t="n">
        <v>12</v>
      </c>
      <c r="B17" s="8" t="n"/>
      <c r="C17" s="9" t="n"/>
      <c r="D17" s="9" t="n"/>
      <c r="E17" s="9" t="n"/>
      <c r="F17" s="9" t="n"/>
      <c r="G17" s="9" t="n"/>
      <c r="H17" s="9" t="n"/>
      <c r="I17" s="10">
        <f>IF(COUNTA(C17:H17)&gt;0, SUM(C17:H17), "")</f>
        <v/>
      </c>
      <c r="J17" s="11">
        <f>IF(I17="","",ROUND(IF(I17&lt;36, 1 + 3*(I17/36), 4 + 3*((I17-36)/24)), 1))</f>
        <v/>
      </c>
      <c r="K17" s="12">
        <f>IF(J17="","",IF(J17&gt;=4.0,"APROBADO","REPROBADO"))</f>
        <v/>
      </c>
      <c r="L17" s="13" t="n"/>
    </row>
    <row r="18" ht="20" customHeight="1">
      <c r="A18" s="7" t="n">
        <v>13</v>
      </c>
      <c r="B18" s="8" t="n"/>
      <c r="C18" s="9" t="n"/>
      <c r="D18" s="9" t="n"/>
      <c r="E18" s="9" t="n"/>
      <c r="F18" s="9" t="n"/>
      <c r="G18" s="9" t="n"/>
      <c r="H18" s="9" t="n"/>
      <c r="I18" s="10">
        <f>IF(COUNTA(C18:H18)&gt;0, SUM(C18:H18), "")</f>
        <v/>
      </c>
      <c r="J18" s="11">
        <f>IF(I18="","",ROUND(IF(I18&lt;36, 1 + 3*(I18/36), 4 + 3*((I18-36)/24)), 1))</f>
        <v/>
      </c>
      <c r="K18" s="12">
        <f>IF(J18="","",IF(J18&gt;=4.0,"APROBADO","REPROBADO"))</f>
        <v/>
      </c>
      <c r="L18" s="13" t="n"/>
    </row>
    <row r="19" ht="20" customHeight="1">
      <c r="A19" s="7" t="n">
        <v>14</v>
      </c>
      <c r="B19" s="8" t="n"/>
      <c r="C19" s="9" t="n"/>
      <c r="D19" s="9" t="n"/>
      <c r="E19" s="9" t="n"/>
      <c r="F19" s="9" t="n"/>
      <c r="G19" s="9" t="n"/>
      <c r="H19" s="9" t="n"/>
      <c r="I19" s="10">
        <f>IF(COUNTA(C19:H19)&gt;0, SUM(C19:H19), "")</f>
        <v/>
      </c>
      <c r="J19" s="11">
        <f>IF(I19="","",ROUND(IF(I19&lt;36, 1 + 3*(I19/36), 4 + 3*((I19-36)/24)), 1))</f>
        <v/>
      </c>
      <c r="K19" s="12">
        <f>IF(J19="","",IF(J19&gt;=4.0,"APROBADO","REPROBADO"))</f>
        <v/>
      </c>
      <c r="L19" s="13" t="n"/>
    </row>
    <row r="20" ht="20" customHeight="1">
      <c r="A20" s="7" t="n">
        <v>15</v>
      </c>
      <c r="B20" s="8" t="n"/>
      <c r="C20" s="9" t="n"/>
      <c r="D20" s="9" t="n"/>
      <c r="E20" s="9" t="n"/>
      <c r="F20" s="9" t="n"/>
      <c r="G20" s="9" t="n"/>
      <c r="H20" s="9" t="n"/>
      <c r="I20" s="10">
        <f>IF(COUNTA(C20:H20)&gt;0, SUM(C20:H20), "")</f>
        <v/>
      </c>
      <c r="J20" s="11">
        <f>IF(I20="","",ROUND(IF(I20&lt;36, 1 + 3*(I20/36), 4 + 3*((I20-36)/24)), 1))</f>
        <v/>
      </c>
      <c r="K20" s="12">
        <f>IF(J20="","",IF(J20&gt;=4.0,"APROBADO","REPROBADO"))</f>
        <v/>
      </c>
      <c r="L20" s="13" t="n"/>
    </row>
    <row r="21" ht="20" customHeight="1">
      <c r="A21" s="7" t="n">
        <v>16</v>
      </c>
      <c r="B21" s="8" t="n"/>
      <c r="C21" s="9" t="n"/>
      <c r="D21" s="9" t="n"/>
      <c r="E21" s="9" t="n"/>
      <c r="F21" s="9" t="n"/>
      <c r="G21" s="9" t="n"/>
      <c r="H21" s="9" t="n"/>
      <c r="I21" s="10">
        <f>IF(COUNTA(C21:H21)&gt;0, SUM(C21:H21), "")</f>
        <v/>
      </c>
      <c r="J21" s="11">
        <f>IF(I21="","",ROUND(IF(I21&lt;36, 1 + 3*(I21/36), 4 + 3*((I21-36)/24)), 1))</f>
        <v/>
      </c>
      <c r="K21" s="12">
        <f>IF(J21="","",IF(J21&gt;=4.0,"APROBADO","REPROBADO"))</f>
        <v/>
      </c>
      <c r="L21" s="13" t="n"/>
    </row>
    <row r="22" ht="20" customHeight="1">
      <c r="A22" s="7" t="n">
        <v>17</v>
      </c>
      <c r="B22" s="8" t="n"/>
      <c r="C22" s="9" t="n"/>
      <c r="D22" s="9" t="n"/>
      <c r="E22" s="9" t="n"/>
      <c r="F22" s="9" t="n"/>
      <c r="G22" s="9" t="n"/>
      <c r="H22" s="9" t="n"/>
      <c r="I22" s="10">
        <f>IF(COUNTA(C22:H22)&gt;0, SUM(C22:H22), "")</f>
        <v/>
      </c>
      <c r="J22" s="11">
        <f>IF(I22="","",ROUND(IF(I22&lt;36, 1 + 3*(I22/36), 4 + 3*((I22-36)/24)), 1))</f>
        <v/>
      </c>
      <c r="K22" s="12">
        <f>IF(J22="","",IF(J22&gt;=4.0,"APROBADO","REPROBADO"))</f>
        <v/>
      </c>
      <c r="L22" s="13" t="n"/>
    </row>
    <row r="23" ht="20" customHeight="1">
      <c r="A23" s="7" t="n">
        <v>18</v>
      </c>
      <c r="B23" s="8" t="n"/>
      <c r="C23" s="9" t="n"/>
      <c r="D23" s="9" t="n"/>
      <c r="E23" s="9" t="n"/>
      <c r="F23" s="9" t="n"/>
      <c r="G23" s="9" t="n"/>
      <c r="H23" s="9" t="n"/>
      <c r="I23" s="10">
        <f>IF(COUNTA(C23:H23)&gt;0, SUM(C23:H23), "")</f>
        <v/>
      </c>
      <c r="J23" s="11">
        <f>IF(I23="","",ROUND(IF(I23&lt;36, 1 + 3*(I23/36), 4 + 3*((I23-36)/24)), 1))</f>
        <v/>
      </c>
      <c r="K23" s="12">
        <f>IF(J23="","",IF(J23&gt;=4.0,"APROBADO","REPROBADO"))</f>
        <v/>
      </c>
      <c r="L23" s="13" t="n"/>
    </row>
    <row r="24" ht="20" customHeight="1">
      <c r="A24" s="7" t="n">
        <v>19</v>
      </c>
      <c r="B24" s="8" t="n"/>
      <c r="C24" s="9" t="n"/>
      <c r="D24" s="9" t="n"/>
      <c r="E24" s="9" t="n"/>
      <c r="F24" s="9" t="n"/>
      <c r="G24" s="9" t="n"/>
      <c r="H24" s="9" t="n"/>
      <c r="I24" s="10">
        <f>IF(COUNTA(C24:H24)&gt;0, SUM(C24:H24), "")</f>
        <v/>
      </c>
      <c r="J24" s="11">
        <f>IF(I24="","",ROUND(IF(I24&lt;36, 1 + 3*(I24/36), 4 + 3*((I24-36)/24)), 1))</f>
        <v/>
      </c>
      <c r="K24" s="12">
        <f>IF(J24="","",IF(J24&gt;=4.0,"APROBADO","REPROBADO"))</f>
        <v/>
      </c>
      <c r="L24" s="13" t="n"/>
    </row>
    <row r="25" ht="20" customHeight="1">
      <c r="A25" s="7" t="n">
        <v>20</v>
      </c>
      <c r="B25" s="8" t="n"/>
      <c r="C25" s="9" t="n"/>
      <c r="D25" s="9" t="n"/>
      <c r="E25" s="9" t="n"/>
      <c r="F25" s="9" t="n"/>
      <c r="G25" s="9" t="n"/>
      <c r="H25" s="9" t="n"/>
      <c r="I25" s="10">
        <f>IF(COUNTA(C25:H25)&gt;0, SUM(C25:H25), "")</f>
        <v/>
      </c>
      <c r="J25" s="11">
        <f>IF(I25="","",ROUND(IF(I25&lt;36, 1 + 3*(I25/36), 4 + 3*((I25-36)/24)), 1))</f>
        <v/>
      </c>
      <c r="K25" s="12">
        <f>IF(J25="","",IF(J25&gt;=4.0,"APROBADO","REPROBADO"))</f>
        <v/>
      </c>
      <c r="L25" s="13" t="n"/>
    </row>
    <row r="26" ht="20" customHeight="1">
      <c r="A26" s="7" t="n">
        <v>21</v>
      </c>
      <c r="B26" s="8" t="n"/>
      <c r="C26" s="9" t="n"/>
      <c r="D26" s="9" t="n"/>
      <c r="E26" s="9" t="n"/>
      <c r="F26" s="9" t="n"/>
      <c r="G26" s="9" t="n"/>
      <c r="H26" s="9" t="n"/>
      <c r="I26" s="10">
        <f>IF(COUNTA(C26:H26)&gt;0, SUM(C26:H26), "")</f>
        <v/>
      </c>
      <c r="J26" s="11">
        <f>IF(I26="","",ROUND(IF(I26&lt;36, 1 + 3*(I26/36), 4 + 3*((I26-36)/24)), 1))</f>
        <v/>
      </c>
      <c r="K26" s="12">
        <f>IF(J26="","",IF(J26&gt;=4.0,"APROBADO","REPROBADO"))</f>
        <v/>
      </c>
      <c r="L26" s="13" t="n"/>
    </row>
    <row r="27" ht="20" customHeight="1">
      <c r="A27" s="7" t="n">
        <v>22</v>
      </c>
      <c r="B27" s="8" t="n"/>
      <c r="C27" s="9" t="n"/>
      <c r="D27" s="9" t="n"/>
      <c r="E27" s="9" t="n"/>
      <c r="F27" s="9" t="n"/>
      <c r="G27" s="9" t="n"/>
      <c r="H27" s="9" t="n"/>
      <c r="I27" s="10">
        <f>IF(COUNTA(C27:H27)&gt;0, SUM(C27:H27), "")</f>
        <v/>
      </c>
      <c r="J27" s="11">
        <f>IF(I27="","",ROUND(IF(I27&lt;36, 1 + 3*(I27/36), 4 + 3*((I27-36)/24)), 1))</f>
        <v/>
      </c>
      <c r="K27" s="12">
        <f>IF(J27="","",IF(J27&gt;=4.0,"APROBADO","REPROBADO"))</f>
        <v/>
      </c>
      <c r="L27" s="13" t="n"/>
    </row>
    <row r="28" ht="20" customHeight="1">
      <c r="A28" s="7" t="n">
        <v>23</v>
      </c>
      <c r="B28" s="8" t="n"/>
      <c r="C28" s="9" t="n"/>
      <c r="D28" s="9" t="n"/>
      <c r="E28" s="9" t="n"/>
      <c r="F28" s="9" t="n"/>
      <c r="G28" s="9" t="n"/>
      <c r="H28" s="9" t="n"/>
      <c r="I28" s="10">
        <f>IF(COUNTA(C28:H28)&gt;0, SUM(C28:H28), "")</f>
        <v/>
      </c>
      <c r="J28" s="11">
        <f>IF(I28="","",ROUND(IF(I28&lt;36, 1 + 3*(I28/36), 4 + 3*((I28-36)/24)), 1))</f>
        <v/>
      </c>
      <c r="K28" s="12">
        <f>IF(J28="","",IF(J28&gt;=4.0,"APROBADO","REPROBADO"))</f>
        <v/>
      </c>
      <c r="L28" s="13" t="n"/>
    </row>
    <row r="29" ht="20" customHeight="1">
      <c r="A29" s="7" t="n">
        <v>24</v>
      </c>
      <c r="B29" s="8" t="n"/>
      <c r="C29" s="9" t="n"/>
      <c r="D29" s="9" t="n"/>
      <c r="E29" s="9" t="n"/>
      <c r="F29" s="9" t="n"/>
      <c r="G29" s="9" t="n"/>
      <c r="H29" s="9" t="n"/>
      <c r="I29" s="10">
        <f>IF(COUNTA(C29:H29)&gt;0, SUM(C29:H29), "")</f>
        <v/>
      </c>
      <c r="J29" s="11">
        <f>IF(I29="","",ROUND(IF(I29&lt;36, 1 + 3*(I29/36), 4 + 3*((I29-36)/24)), 1))</f>
        <v/>
      </c>
      <c r="K29" s="12">
        <f>IF(J29="","",IF(J29&gt;=4.0,"APROBADO","REPROBADO"))</f>
        <v/>
      </c>
      <c r="L29" s="13" t="n"/>
    </row>
    <row r="30" ht="20" customHeight="1">
      <c r="A30" s="7" t="n">
        <v>25</v>
      </c>
      <c r="B30" s="8" t="n"/>
      <c r="C30" s="9" t="n"/>
      <c r="D30" s="9" t="n"/>
      <c r="E30" s="9" t="n"/>
      <c r="F30" s="9" t="n"/>
      <c r="G30" s="9" t="n"/>
      <c r="H30" s="9" t="n"/>
      <c r="I30" s="10">
        <f>IF(COUNTA(C30:H30)&gt;0, SUM(C30:H30), "")</f>
        <v/>
      </c>
      <c r="J30" s="11">
        <f>IF(I30="","",ROUND(IF(I30&lt;36, 1 + 3*(I30/36), 4 + 3*((I30-36)/24)), 1))</f>
        <v/>
      </c>
      <c r="K30" s="12">
        <f>IF(J30="","",IF(J30&gt;=4.0,"APROBADO","REPROBADO"))</f>
        <v/>
      </c>
      <c r="L30" s="13" t="n"/>
    </row>
    <row r="31" ht="20" customHeight="1">
      <c r="A31" s="7" t="n">
        <v>26</v>
      </c>
      <c r="B31" s="8" t="n"/>
      <c r="C31" s="9" t="n"/>
      <c r="D31" s="9" t="n"/>
      <c r="E31" s="9" t="n"/>
      <c r="F31" s="9" t="n"/>
      <c r="G31" s="9" t="n"/>
      <c r="H31" s="9" t="n"/>
      <c r="I31" s="10">
        <f>IF(COUNTA(C31:H31)&gt;0, SUM(C31:H31), "")</f>
        <v/>
      </c>
      <c r="J31" s="11">
        <f>IF(I31="","",ROUND(IF(I31&lt;36, 1 + 3*(I31/36), 4 + 3*((I31-36)/24)), 1))</f>
        <v/>
      </c>
      <c r="K31" s="12">
        <f>IF(J31="","",IF(J31&gt;=4.0,"APROBADO","REPROBADO"))</f>
        <v/>
      </c>
      <c r="L31" s="13" t="n"/>
    </row>
    <row r="32" ht="20" customHeight="1">
      <c r="A32" s="7" t="n">
        <v>27</v>
      </c>
      <c r="B32" s="8" t="n"/>
      <c r="C32" s="9" t="n"/>
      <c r="D32" s="9" t="n"/>
      <c r="E32" s="9" t="n"/>
      <c r="F32" s="9" t="n"/>
      <c r="G32" s="9" t="n"/>
      <c r="H32" s="9" t="n"/>
      <c r="I32" s="10">
        <f>IF(COUNTA(C32:H32)&gt;0, SUM(C32:H32), "")</f>
        <v/>
      </c>
      <c r="J32" s="11">
        <f>IF(I32="","",ROUND(IF(I32&lt;36, 1 + 3*(I32/36), 4 + 3*((I32-36)/24)), 1))</f>
        <v/>
      </c>
      <c r="K32" s="12">
        <f>IF(J32="","",IF(J32&gt;=4.0,"APROBADO","REPROBADO"))</f>
        <v/>
      </c>
      <c r="L32" s="13" t="n"/>
    </row>
    <row r="33" ht="20" customHeight="1">
      <c r="A33" s="7" t="n">
        <v>28</v>
      </c>
      <c r="B33" s="8" t="n"/>
      <c r="C33" s="9" t="n"/>
      <c r="D33" s="9" t="n"/>
      <c r="E33" s="9" t="n"/>
      <c r="F33" s="9" t="n"/>
      <c r="G33" s="9" t="n"/>
      <c r="H33" s="9" t="n"/>
      <c r="I33" s="10">
        <f>IF(COUNTA(C33:H33)&gt;0, SUM(C33:H33), "")</f>
        <v/>
      </c>
      <c r="J33" s="11">
        <f>IF(I33="","",ROUND(IF(I33&lt;36, 1 + 3*(I33/36), 4 + 3*((I33-36)/24)), 1))</f>
        <v/>
      </c>
      <c r="K33" s="12">
        <f>IF(J33="","",IF(J33&gt;=4.0,"APROBADO","REPROBADO"))</f>
        <v/>
      </c>
      <c r="L33" s="13" t="n"/>
    </row>
    <row r="34" ht="20" customHeight="1">
      <c r="A34" s="7" t="n">
        <v>29</v>
      </c>
      <c r="B34" s="8" t="n"/>
      <c r="C34" s="9" t="n"/>
      <c r="D34" s="9" t="n"/>
      <c r="E34" s="9" t="n"/>
      <c r="F34" s="9" t="n"/>
      <c r="G34" s="9" t="n"/>
      <c r="H34" s="9" t="n"/>
      <c r="I34" s="10">
        <f>IF(COUNTA(C34:H34)&gt;0, SUM(C34:H34), "")</f>
        <v/>
      </c>
      <c r="J34" s="11">
        <f>IF(I34="","",ROUND(IF(I34&lt;36, 1 + 3*(I34/36), 4 + 3*((I34-36)/24)), 1))</f>
        <v/>
      </c>
      <c r="K34" s="12">
        <f>IF(J34="","",IF(J34&gt;=4.0,"APROBADO","REPROBADO"))</f>
        <v/>
      </c>
      <c r="L34" s="13" t="n"/>
    </row>
    <row r="35" ht="20" customHeight="1">
      <c r="A35" s="7" t="n">
        <v>30</v>
      </c>
      <c r="B35" s="8" t="n"/>
      <c r="C35" s="9" t="n"/>
      <c r="D35" s="9" t="n"/>
      <c r="E35" s="9" t="n"/>
      <c r="F35" s="9" t="n"/>
      <c r="G35" s="9" t="n"/>
      <c r="H35" s="9" t="n"/>
      <c r="I35" s="10">
        <f>IF(COUNTA(C35:H35)&gt;0, SUM(C35:H35), "")</f>
        <v/>
      </c>
      <c r="J35" s="11">
        <f>IF(I35="","",ROUND(IF(I35&lt;36, 1 + 3*(I35/36), 4 + 3*((I35-36)/24)), 1))</f>
        <v/>
      </c>
      <c r="K35" s="12">
        <f>IF(J35="","",IF(J35&gt;=4.0,"APROBADO","REPROBADO"))</f>
        <v/>
      </c>
      <c r="L35" s="13" t="n"/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 outlineLevelCol="0"/>
  <cols>
    <col width="22" customWidth="1" min="1" max="1"/>
    <col width="32" customWidth="1" min="2" max="2"/>
    <col width="30" customWidth="1" min="3" max="3"/>
    <col width="28" customWidth="1" min="4" max="4"/>
    <col width="28" customWidth="1" min="5" max="5"/>
    <col width="14" customWidth="1" min="6" max="6"/>
  </cols>
  <sheetData>
    <row r="1">
      <c r="A1" s="14" t="inlineStr">
        <is>
          <t>MATRIZ DESCRIPTIVA DE EVALUACIÓN (TOTAL: 60 PUNTOS)</t>
        </is>
      </c>
    </row>
    <row r="3" ht="26" customHeight="1">
      <c r="A3" s="6" t="inlineStr">
        <is>
          <t>Criterio Evaluado</t>
        </is>
      </c>
      <c r="B3" s="6" t="inlineStr">
        <is>
          <t>Excelente (100%)</t>
        </is>
      </c>
      <c r="C3" s="6" t="inlineStr">
        <is>
          <t>Bueno (75%)</t>
        </is>
      </c>
      <c r="D3" s="6" t="inlineStr">
        <is>
          <t>Suficiente (50%)</t>
        </is>
      </c>
      <c r="E3" s="6" t="inlineStr">
        <is>
          <t>Insuficiente (0-25%)</t>
        </is>
      </c>
      <c r="F3" s="5" t="inlineStr">
        <is>
          <t>Puntaje Máx</t>
        </is>
      </c>
    </row>
    <row r="4" ht="48" customHeight="1">
      <c r="A4" s="15" t="inlineStr">
        <is>
          <t>1. Key Light (Luz Principal)</t>
        </is>
      </c>
      <c r="B4" s="16" t="inlineStr">
        <is>
          <t>Posicionada a ~45° lateral y cenital. Define claramente el modelado volumétrico, contraste y dirección de sombras sin sobreexponer.</t>
        </is>
      </c>
      <c r="C4" s="16" t="inlineStr">
        <is>
          <t>Posicionada adecuadamente pero con leve descalibración de intensidad (zonas ligeramente quemadas o sombra poco definida).</t>
        </is>
      </c>
      <c r="D4" s="16" t="inlineStr">
        <is>
          <t>Ubicación incorrecta o intensidad muy baja/alta, afectando la lectura del volumen del objeto.</t>
        </is>
      </c>
      <c r="E4" s="16" t="inlineStr">
        <is>
          <t>Luz ausente, mal orientada o que no cumple el rol de emisor dominante.</t>
        </is>
      </c>
      <c r="F4" s="17" t="inlineStr">
        <is>
          <t>7 pts</t>
        </is>
      </c>
    </row>
    <row r="5" ht="48" customHeight="1">
      <c r="A5" s="15" t="inlineStr">
        <is>
          <t>2. Fill Light (Luz de Relleno)</t>
        </is>
      </c>
      <c r="B5" s="16" t="inlineStr">
        <is>
          <t>Ubicada en el flanco opuesto. Intensidad calibrada (25-40% de Key). Suaviza sombras duras rescatando información sin generar sombras cruzadas.</t>
        </is>
      </c>
      <c r="C5" s="16" t="inlineStr">
        <is>
          <t>Ubicada correctamente pero su intensidad compite con Key (&gt;50%) o es demasiado tenue (&lt;15%).</t>
        </is>
      </c>
      <c r="D5" s="16" t="inlineStr">
        <is>
          <t>Genera sombras cruzadas notorias o no logra levantar la penumbra del lado oscuro.</t>
        </is>
      </c>
      <c r="E5" s="16" t="inlineStr">
        <is>
          <t>Ausente o colocada en posición errónea que anula el contraste del esquema.</t>
        </is>
      </c>
      <c r="F5" s="17" t="inlineStr">
        <is>
          <t>7 pts</t>
        </is>
      </c>
    </row>
    <row r="6" ht="48" customHeight="1">
      <c r="A6" s="15" t="inlineStr">
        <is>
          <t>3. Rim Light (Contraluz)</t>
        </is>
      </c>
      <c r="B6" s="16" t="inlineStr">
        <is>
          <t>Ubicada detrás del sujeto. Dibuja un filete brillante limpio y continuo en bordes y hombros, separando perfectamente del fondo oscuro.</t>
        </is>
      </c>
      <c r="C6" s="16" t="inlineStr">
        <is>
          <t>Presente y bien ubicada, pero con intensidad algo excesiva (quema el contorno) o muy tenue.</t>
        </is>
      </c>
      <c r="D6" s="16" t="inlineStr">
        <is>
          <t>Posición deficiente; solo ilumina una fracción menor del borde sin lograr despegar el modelo.</t>
        </is>
      </c>
      <c r="E6" s="16" t="inlineStr">
        <is>
          <t>Ausente o no genera contraste de silueta respecto al fondo.</t>
        </is>
      </c>
      <c r="F6" s="17" t="inlineStr">
        <is>
          <t>6 pts</t>
        </is>
      </c>
    </row>
    <row r="7" ht="48" customHeight="1">
      <c r="A7" s="15" t="inlineStr">
        <is>
          <t>4. Material PBR y Texturizado</t>
        </is>
      </c>
      <c r="B7" s="16" t="inlineStr">
        <is>
          <t>Mapas de textura (BaseColor, Normal, ORM) asignados correctamente. Respuesta física coherente y verosímil según el material.</t>
        </is>
      </c>
      <c r="C7" s="16" t="inlineStr">
        <is>
          <t>Texturas bien asignadas pero con leves desajustes en el balance de rugosidad o fuerza de normales.</t>
        </is>
      </c>
      <c r="D7" s="16" t="inlineStr">
        <is>
          <t>Errores en la asignación de canales (ej. Normal Map invertido o rugosidad no calibrada).</t>
        </is>
      </c>
      <c r="E7" s="16" t="inlineStr">
        <is>
          <t>Material plano sin mapas PBR o texturas con sombras pintadas a mano que rompen el PBR.</t>
        </is>
      </c>
      <c r="F7" s="17" t="inlineStr">
        <is>
          <t>15 pts</t>
        </is>
      </c>
    </row>
    <row r="8" ht="48" customHeight="1">
      <c r="A8" s="15" t="inlineStr">
        <is>
          <t>5. Arquitectura del Shader e Instancias</t>
        </is>
      </c>
      <c r="B8" s="16" t="inlineStr">
        <is>
          <t>Construcción correcta de Master Material (M_) y derivación a Instancia (MI_). Presenta 3 o más parámetros expuestos y funcionales en tiempo real.</t>
        </is>
      </c>
      <c r="C8" s="16" t="inlineStr">
        <is>
          <t>Presenta Master e Instancia, pero solo 2 parámetros funcionan correctamente o su nomenclatura es genérica.</t>
        </is>
      </c>
      <c r="D8" s="16" t="inlineStr">
        <is>
          <t>Material con solo 1 parámetro expuesto o no utiliza el flujo de instancias (modifica el shader base).</t>
        </is>
      </c>
      <c r="E8" s="16" t="inlineStr">
        <is>
          <t>No utiliza instancias de material ni expone parámetros escalares/vectoriales.</t>
        </is>
      </c>
      <c r="F8" s="17" t="inlineStr">
        <is>
          <t>15 pts</t>
        </is>
      </c>
    </row>
    <row r="9" ht="48" customHeight="1">
      <c r="A9" s="15" t="inlineStr">
        <is>
          <t>6. Nomenclatura, Orden y Presentación</t>
        </is>
      </c>
      <c r="B9" s="16" t="inlineStr">
        <is>
          <t>Proyecto ordenado con nomenclatura estándar de la industria (M_, MI_, T_, SM_, L_). Outliner limpio. Renders nítidos y bien encuadrados.</t>
        </is>
      </c>
      <c r="C9" s="16" t="inlineStr">
        <is>
          <t>Proyecto comprensible pero con descuidos menores en nomenclatura o carpetas.</t>
        </is>
      </c>
      <c r="D9" s="16" t="inlineStr">
        <is>
          <t>Desorden evidente en el árbol de contenido o nombres por defecto (NewMaterial, PointLight1).</t>
        </is>
      </c>
      <c r="E9" s="16" t="inlineStr">
        <is>
          <t>Proyecto desorganizado, archivos rotos o faltan capturas solicitadas.</t>
        </is>
      </c>
      <c r="F9" s="17" t="inlineStr">
        <is>
          <t>10 pts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30" customWidth="1" min="4" max="4"/>
  </cols>
  <sheetData>
    <row r="1">
      <c r="A1" s="18" t="inlineStr">
        <is>
          <t>TABLA DE CONVERSIÓN OFICIAL: PUNTAJE A NOTA CHILENA (1.0 A 7.0 AL 60%)</t>
        </is>
      </c>
    </row>
    <row r="3" ht="24" customHeight="1">
      <c r="A3" s="19" t="inlineStr">
        <is>
          <t>Puntaje (pts)</t>
        </is>
      </c>
      <c r="B3" s="19" t="inlineStr">
        <is>
          <t>% Logro</t>
        </is>
      </c>
      <c r="C3" s="19" t="inlineStr">
        <is>
          <t>Nota Final</t>
        </is>
      </c>
      <c r="D3" s="20" t="inlineStr">
        <is>
          <t>Nivel de Desempeño</t>
        </is>
      </c>
    </row>
    <row r="4" ht="18" customHeight="1">
      <c r="A4" s="21" t="n">
        <v>60</v>
      </c>
      <c r="B4" s="22" t="inlineStr">
        <is>
          <t>100.0%</t>
        </is>
      </c>
      <c r="C4" s="23" t="n">
        <v>7</v>
      </c>
      <c r="D4" s="24" t="inlineStr">
        <is>
          <t>Sobresaliente</t>
        </is>
      </c>
    </row>
    <row r="5" ht="18" customHeight="1">
      <c r="A5" s="21" t="n">
        <v>59</v>
      </c>
      <c r="B5" s="22" t="inlineStr">
        <is>
          <t>98.3%</t>
        </is>
      </c>
      <c r="C5" s="23" t="n">
        <v>6.9</v>
      </c>
      <c r="D5" s="24" t="inlineStr">
        <is>
          <t>Sobresaliente</t>
        </is>
      </c>
    </row>
    <row r="6" ht="18" customHeight="1">
      <c r="A6" s="21" t="n">
        <v>58</v>
      </c>
      <c r="B6" s="22" t="inlineStr">
        <is>
          <t>96.7%</t>
        </is>
      </c>
      <c r="C6" s="23" t="n">
        <v>6.8</v>
      </c>
      <c r="D6" s="24" t="inlineStr">
        <is>
          <t>Sobresaliente</t>
        </is>
      </c>
    </row>
    <row r="7" ht="18" customHeight="1">
      <c r="A7" s="21" t="n">
        <v>57</v>
      </c>
      <c r="B7" s="22" t="inlineStr">
        <is>
          <t>95.0%</t>
        </is>
      </c>
      <c r="C7" s="23" t="n">
        <v>6.6</v>
      </c>
      <c r="D7" s="24" t="inlineStr">
        <is>
          <t>Sobresaliente</t>
        </is>
      </c>
    </row>
    <row r="8" ht="18" customHeight="1">
      <c r="A8" s="21" t="n">
        <v>56</v>
      </c>
      <c r="B8" s="22" t="inlineStr">
        <is>
          <t>93.3%</t>
        </is>
      </c>
      <c r="C8" s="23" t="n">
        <v>6.5</v>
      </c>
      <c r="D8" s="24" t="inlineStr">
        <is>
          <t>Sobresaliente</t>
        </is>
      </c>
    </row>
    <row r="9" ht="18" customHeight="1">
      <c r="A9" s="21" t="n">
        <v>55</v>
      </c>
      <c r="B9" s="22" t="inlineStr">
        <is>
          <t>91.7%</t>
        </is>
      </c>
      <c r="C9" s="23" t="n">
        <v>6.4</v>
      </c>
      <c r="D9" s="24" t="inlineStr">
        <is>
          <t>Muy Bueno</t>
        </is>
      </c>
    </row>
    <row r="10" ht="18" customHeight="1">
      <c r="A10" s="21" t="n">
        <v>54</v>
      </c>
      <c r="B10" s="22" t="inlineStr">
        <is>
          <t>90.0%</t>
        </is>
      </c>
      <c r="C10" s="23" t="n">
        <v>6.2</v>
      </c>
      <c r="D10" s="24" t="inlineStr">
        <is>
          <t>Muy Bueno</t>
        </is>
      </c>
    </row>
    <row r="11" ht="18" customHeight="1">
      <c r="A11" s="21" t="n">
        <v>53</v>
      </c>
      <c r="B11" s="22" t="inlineStr">
        <is>
          <t>88.3%</t>
        </is>
      </c>
      <c r="C11" s="23" t="n">
        <v>6.1</v>
      </c>
      <c r="D11" s="24" t="inlineStr">
        <is>
          <t>Muy Bueno</t>
        </is>
      </c>
    </row>
    <row r="12" ht="18" customHeight="1">
      <c r="A12" s="21" t="n">
        <v>52</v>
      </c>
      <c r="B12" s="22" t="inlineStr">
        <is>
          <t>86.7%</t>
        </is>
      </c>
      <c r="C12" s="23" t="n">
        <v>6</v>
      </c>
      <c r="D12" s="24" t="inlineStr">
        <is>
          <t>Muy Bueno</t>
        </is>
      </c>
    </row>
    <row r="13" ht="18" customHeight="1">
      <c r="A13" s="21" t="n">
        <v>51</v>
      </c>
      <c r="B13" s="22" t="inlineStr">
        <is>
          <t>85.0%</t>
        </is>
      </c>
      <c r="C13" s="23" t="n">
        <v>5.9</v>
      </c>
      <c r="D13" s="24" t="inlineStr">
        <is>
          <t>Muy Bueno</t>
        </is>
      </c>
    </row>
    <row r="14" ht="18" customHeight="1">
      <c r="A14" s="21" t="n">
        <v>50</v>
      </c>
      <c r="B14" s="22" t="inlineStr">
        <is>
          <t>83.3%</t>
        </is>
      </c>
      <c r="C14" s="23" t="n">
        <v>5.8</v>
      </c>
      <c r="D14" s="24" t="inlineStr">
        <is>
          <t>Muy Bueno</t>
        </is>
      </c>
    </row>
    <row r="15" ht="18" customHeight="1">
      <c r="A15" s="21" t="n">
        <v>49</v>
      </c>
      <c r="B15" s="22" t="inlineStr">
        <is>
          <t>81.7%</t>
        </is>
      </c>
      <c r="C15" s="23" t="n">
        <v>5.6</v>
      </c>
      <c r="D15" s="24" t="inlineStr">
        <is>
          <t>Bueno</t>
        </is>
      </c>
    </row>
    <row r="16" ht="18" customHeight="1">
      <c r="A16" s="21" t="n">
        <v>48</v>
      </c>
      <c r="B16" s="22" t="inlineStr">
        <is>
          <t>80.0%</t>
        </is>
      </c>
      <c r="C16" s="23" t="n">
        <v>5.5</v>
      </c>
      <c r="D16" s="24" t="inlineStr">
        <is>
          <t>Bueno</t>
        </is>
      </c>
    </row>
    <row r="17" ht="18" customHeight="1">
      <c r="A17" s="21" t="n">
        <v>47</v>
      </c>
      <c r="B17" s="22" t="inlineStr">
        <is>
          <t>78.3%</t>
        </is>
      </c>
      <c r="C17" s="23" t="n">
        <v>5.4</v>
      </c>
      <c r="D17" s="24" t="inlineStr">
        <is>
          <t>Bueno</t>
        </is>
      </c>
    </row>
    <row r="18" ht="18" customHeight="1">
      <c r="A18" s="21" t="n">
        <v>46</v>
      </c>
      <c r="B18" s="22" t="inlineStr">
        <is>
          <t>76.7%</t>
        </is>
      </c>
      <c r="C18" s="23" t="n">
        <v>5.2</v>
      </c>
      <c r="D18" s="24" t="inlineStr">
        <is>
          <t>Bueno</t>
        </is>
      </c>
    </row>
    <row r="19" ht="18" customHeight="1">
      <c r="A19" s="21" t="n">
        <v>45</v>
      </c>
      <c r="B19" s="22" t="inlineStr">
        <is>
          <t>75.0%</t>
        </is>
      </c>
      <c r="C19" s="23" t="n">
        <v>5.1</v>
      </c>
      <c r="D19" s="24" t="inlineStr">
        <is>
          <t>Bueno</t>
        </is>
      </c>
    </row>
    <row r="20" ht="18" customHeight="1">
      <c r="A20" s="21" t="n">
        <v>44</v>
      </c>
      <c r="B20" s="22" t="inlineStr">
        <is>
          <t>73.3%</t>
        </is>
      </c>
      <c r="C20" s="23" t="n">
        <v>5</v>
      </c>
      <c r="D20" s="24" t="inlineStr">
        <is>
          <t>Bueno</t>
        </is>
      </c>
    </row>
    <row r="21" ht="18" customHeight="1">
      <c r="A21" s="21" t="n">
        <v>43</v>
      </c>
      <c r="B21" s="22" t="inlineStr">
        <is>
          <t>71.7%</t>
        </is>
      </c>
      <c r="C21" s="23" t="n">
        <v>4.9</v>
      </c>
      <c r="D21" s="24" t="inlineStr">
        <is>
          <t>Aprobado (Suficiente)</t>
        </is>
      </c>
    </row>
    <row r="22" ht="18" customHeight="1">
      <c r="A22" s="21" t="n">
        <v>42</v>
      </c>
      <c r="B22" s="22" t="inlineStr">
        <is>
          <t>70.0%</t>
        </is>
      </c>
      <c r="C22" s="23" t="n">
        <v>4.8</v>
      </c>
      <c r="D22" s="24" t="inlineStr">
        <is>
          <t>Aprobado (Suficiente)</t>
        </is>
      </c>
    </row>
    <row r="23" ht="18" customHeight="1">
      <c r="A23" s="21" t="n">
        <v>41</v>
      </c>
      <c r="B23" s="22" t="inlineStr">
        <is>
          <t>68.3%</t>
        </is>
      </c>
      <c r="C23" s="23" t="n">
        <v>4.6</v>
      </c>
      <c r="D23" s="24" t="inlineStr">
        <is>
          <t>Aprobado (Suficiente)</t>
        </is>
      </c>
    </row>
    <row r="24" ht="18" customHeight="1">
      <c r="A24" s="21" t="n">
        <v>40</v>
      </c>
      <c r="B24" s="22" t="inlineStr">
        <is>
          <t>66.7%</t>
        </is>
      </c>
      <c r="C24" s="23" t="n">
        <v>4.5</v>
      </c>
      <c r="D24" s="24" t="inlineStr">
        <is>
          <t>Aprobado (Suficiente)</t>
        </is>
      </c>
    </row>
    <row r="25" ht="18" customHeight="1">
      <c r="A25" s="21" t="n">
        <v>39</v>
      </c>
      <c r="B25" s="22" t="inlineStr">
        <is>
          <t>65.0%</t>
        </is>
      </c>
      <c r="C25" s="23" t="n">
        <v>4.4</v>
      </c>
      <c r="D25" s="24" t="inlineStr">
        <is>
          <t>Aprobado (Suficiente)</t>
        </is>
      </c>
    </row>
    <row r="26" ht="18" customHeight="1">
      <c r="A26" s="21" t="n">
        <v>38</v>
      </c>
      <c r="B26" s="22" t="inlineStr">
        <is>
          <t>63.3%</t>
        </is>
      </c>
      <c r="C26" s="23" t="n">
        <v>4.2</v>
      </c>
      <c r="D26" s="24" t="inlineStr">
        <is>
          <t>Aprobado (Suficiente)</t>
        </is>
      </c>
    </row>
    <row r="27" ht="18" customHeight="1">
      <c r="A27" s="21" t="n">
        <v>37</v>
      </c>
      <c r="B27" s="22" t="inlineStr">
        <is>
          <t>61.7%</t>
        </is>
      </c>
      <c r="C27" s="23" t="n">
        <v>4.1</v>
      </c>
      <c r="D27" s="24" t="inlineStr">
        <is>
          <t>Aprobado (Suficiente)</t>
        </is>
      </c>
    </row>
    <row r="28" ht="18" customHeight="1">
      <c r="A28" s="21" t="n">
        <v>36</v>
      </c>
      <c r="B28" s="22" t="inlineStr">
        <is>
          <t>60.0%</t>
        </is>
      </c>
      <c r="C28" s="23" t="n">
        <v>4</v>
      </c>
      <c r="D28" s="24" t="inlineStr">
        <is>
          <t>Aprobado (Suficiente)</t>
        </is>
      </c>
    </row>
    <row r="29" ht="18" customHeight="1">
      <c r="A29" s="21" t="n">
        <v>35</v>
      </c>
      <c r="B29" s="22" t="inlineStr">
        <is>
          <t>58.3%</t>
        </is>
      </c>
      <c r="C29" s="25" t="n">
        <v>3.9</v>
      </c>
      <c r="D29" s="24" t="inlineStr">
        <is>
          <t>Reprobado (Insuficiente)</t>
        </is>
      </c>
    </row>
    <row r="30" ht="18" customHeight="1">
      <c r="A30" s="21" t="n">
        <v>34</v>
      </c>
      <c r="B30" s="22" t="inlineStr">
        <is>
          <t>56.7%</t>
        </is>
      </c>
      <c r="C30" s="25" t="n">
        <v>3.8</v>
      </c>
      <c r="D30" s="24" t="inlineStr">
        <is>
          <t>Reprobado (Insuficiente)</t>
        </is>
      </c>
    </row>
    <row r="31" ht="18" customHeight="1">
      <c r="A31" s="21" t="n">
        <v>33</v>
      </c>
      <c r="B31" s="22" t="inlineStr">
        <is>
          <t>55.0%</t>
        </is>
      </c>
      <c r="C31" s="25" t="n">
        <v>3.8</v>
      </c>
      <c r="D31" s="24" t="inlineStr">
        <is>
          <t>Reprobado (Insuficiente)</t>
        </is>
      </c>
    </row>
    <row r="32" ht="18" customHeight="1">
      <c r="A32" s="21" t="n">
        <v>32</v>
      </c>
      <c r="B32" s="22" t="inlineStr">
        <is>
          <t>53.3%</t>
        </is>
      </c>
      <c r="C32" s="25" t="n">
        <v>3.7</v>
      </c>
      <c r="D32" s="24" t="inlineStr">
        <is>
          <t>Reprobado (Insuficiente)</t>
        </is>
      </c>
    </row>
    <row r="33" ht="18" customHeight="1">
      <c r="A33" s="21" t="n">
        <v>31</v>
      </c>
      <c r="B33" s="22" t="inlineStr">
        <is>
          <t>51.7%</t>
        </is>
      </c>
      <c r="C33" s="25" t="n">
        <v>3.6</v>
      </c>
      <c r="D33" s="24" t="inlineStr">
        <is>
          <t>Reprobado (Insuficiente)</t>
        </is>
      </c>
    </row>
    <row r="34" ht="18" customHeight="1">
      <c r="A34" s="21" t="n">
        <v>30</v>
      </c>
      <c r="B34" s="22" t="inlineStr">
        <is>
          <t>50.0%</t>
        </is>
      </c>
      <c r="C34" s="25" t="n">
        <v>3.5</v>
      </c>
      <c r="D34" s="24" t="inlineStr">
        <is>
          <t>Reprobado (Insuficiente)</t>
        </is>
      </c>
    </row>
    <row r="35" ht="18" customHeight="1">
      <c r="A35" s="21" t="n">
        <v>29</v>
      </c>
      <c r="B35" s="22" t="inlineStr">
        <is>
          <t>48.3%</t>
        </is>
      </c>
      <c r="C35" s="25" t="n">
        <v>3.4</v>
      </c>
      <c r="D35" s="24" t="inlineStr">
        <is>
          <t>Reprobado (Insuficiente)</t>
        </is>
      </c>
    </row>
    <row r="36" ht="18" customHeight="1">
      <c r="A36" s="21" t="n">
        <v>28</v>
      </c>
      <c r="B36" s="22" t="inlineStr">
        <is>
          <t>46.7%</t>
        </is>
      </c>
      <c r="C36" s="25" t="n">
        <v>3.3</v>
      </c>
      <c r="D36" s="24" t="inlineStr">
        <is>
          <t>Reprobado (Insuficiente)</t>
        </is>
      </c>
    </row>
    <row r="37" ht="18" customHeight="1">
      <c r="A37" s="21" t="n">
        <v>27</v>
      </c>
      <c r="B37" s="22" t="inlineStr">
        <is>
          <t>45.0%</t>
        </is>
      </c>
      <c r="C37" s="25" t="n">
        <v>3.2</v>
      </c>
      <c r="D37" s="24" t="inlineStr">
        <is>
          <t>Reprobado (Insuficiente)</t>
        </is>
      </c>
    </row>
    <row r="38" ht="18" customHeight="1">
      <c r="A38" s="21" t="n">
        <v>26</v>
      </c>
      <c r="B38" s="22" t="inlineStr">
        <is>
          <t>43.3%</t>
        </is>
      </c>
      <c r="C38" s="25" t="n">
        <v>3.2</v>
      </c>
      <c r="D38" s="24" t="inlineStr">
        <is>
          <t>Reprobado (Insuficiente)</t>
        </is>
      </c>
    </row>
    <row r="39" ht="18" customHeight="1">
      <c r="A39" s="21" t="n">
        <v>25</v>
      </c>
      <c r="B39" s="22" t="inlineStr">
        <is>
          <t>41.7%</t>
        </is>
      </c>
      <c r="C39" s="25" t="n">
        <v>3.1</v>
      </c>
      <c r="D39" s="24" t="inlineStr">
        <is>
          <t>Reprobado (Insuficiente)</t>
        </is>
      </c>
    </row>
    <row r="40" ht="18" customHeight="1">
      <c r="A40" s="21" t="n">
        <v>24</v>
      </c>
      <c r="B40" s="22" t="inlineStr">
        <is>
          <t>40.0%</t>
        </is>
      </c>
      <c r="C40" s="25" t="n">
        <v>3</v>
      </c>
      <c r="D40" s="24" t="inlineStr">
        <is>
          <t>Reprobado (Insuficiente)</t>
        </is>
      </c>
    </row>
    <row r="41" ht="18" customHeight="1">
      <c r="A41" s="21" t="n">
        <v>23</v>
      </c>
      <c r="B41" s="22" t="inlineStr">
        <is>
          <t>38.3%</t>
        </is>
      </c>
      <c r="C41" s="25" t="n">
        <v>2.9</v>
      </c>
      <c r="D41" s="24" t="inlineStr">
        <is>
          <t>Deficiente / Sin Entrega</t>
        </is>
      </c>
    </row>
    <row r="42" ht="18" customHeight="1">
      <c r="A42" s="21" t="n">
        <v>22</v>
      </c>
      <c r="B42" s="22" t="inlineStr">
        <is>
          <t>36.7%</t>
        </is>
      </c>
      <c r="C42" s="25" t="n">
        <v>2.8</v>
      </c>
      <c r="D42" s="24" t="inlineStr">
        <is>
          <t>Deficiente / Sin Entrega</t>
        </is>
      </c>
    </row>
    <row r="43" ht="18" customHeight="1">
      <c r="A43" s="21" t="n">
        <v>21</v>
      </c>
      <c r="B43" s="22" t="inlineStr">
        <is>
          <t>35.0%</t>
        </is>
      </c>
      <c r="C43" s="25" t="n">
        <v>2.8</v>
      </c>
      <c r="D43" s="24" t="inlineStr">
        <is>
          <t>Deficiente / Sin Entrega</t>
        </is>
      </c>
    </row>
    <row r="44" ht="18" customHeight="1">
      <c r="A44" s="21" t="n">
        <v>20</v>
      </c>
      <c r="B44" s="22" t="inlineStr">
        <is>
          <t>33.3%</t>
        </is>
      </c>
      <c r="C44" s="25" t="n">
        <v>2.7</v>
      </c>
      <c r="D44" s="24" t="inlineStr">
        <is>
          <t>Deficiente / Sin Entrega</t>
        </is>
      </c>
    </row>
    <row r="45" ht="18" customHeight="1">
      <c r="A45" s="21" t="n">
        <v>19</v>
      </c>
      <c r="B45" s="22" t="inlineStr">
        <is>
          <t>31.7%</t>
        </is>
      </c>
      <c r="C45" s="25" t="n">
        <v>2.6</v>
      </c>
      <c r="D45" s="24" t="inlineStr">
        <is>
          <t>Deficiente / Sin Entrega</t>
        </is>
      </c>
    </row>
    <row r="46" ht="18" customHeight="1">
      <c r="A46" s="21" t="n">
        <v>18</v>
      </c>
      <c r="B46" s="22" t="inlineStr">
        <is>
          <t>30.0%</t>
        </is>
      </c>
      <c r="C46" s="25" t="n">
        <v>2.5</v>
      </c>
      <c r="D46" s="24" t="inlineStr">
        <is>
          <t>Deficiente / Sin Entrega</t>
        </is>
      </c>
    </row>
    <row r="47" ht="18" customHeight="1">
      <c r="A47" s="21" t="n">
        <v>17</v>
      </c>
      <c r="B47" s="22" t="inlineStr">
        <is>
          <t>28.3%</t>
        </is>
      </c>
      <c r="C47" s="25" t="n">
        <v>2.4</v>
      </c>
      <c r="D47" s="24" t="inlineStr">
        <is>
          <t>Deficiente / Sin Entrega</t>
        </is>
      </c>
    </row>
    <row r="48" ht="18" customHeight="1">
      <c r="A48" s="21" t="n">
        <v>16</v>
      </c>
      <c r="B48" s="22" t="inlineStr">
        <is>
          <t>26.7%</t>
        </is>
      </c>
      <c r="C48" s="25" t="n">
        <v>2.3</v>
      </c>
      <c r="D48" s="24" t="inlineStr">
        <is>
          <t>Deficiente / Sin Entrega</t>
        </is>
      </c>
    </row>
    <row r="49" ht="18" customHeight="1">
      <c r="A49" s="21" t="n">
        <v>15</v>
      </c>
      <c r="B49" s="22" t="inlineStr">
        <is>
          <t>25.0%</t>
        </is>
      </c>
      <c r="C49" s="25" t="n">
        <v>2.2</v>
      </c>
      <c r="D49" s="24" t="inlineStr">
        <is>
          <t>Deficiente / Sin Entrega</t>
        </is>
      </c>
    </row>
    <row r="50" ht="18" customHeight="1">
      <c r="A50" s="21" t="n">
        <v>14</v>
      </c>
      <c r="B50" s="22" t="inlineStr">
        <is>
          <t>23.3%</t>
        </is>
      </c>
      <c r="C50" s="25" t="n">
        <v>2.2</v>
      </c>
      <c r="D50" s="24" t="inlineStr">
        <is>
          <t>Deficiente / Sin Entrega</t>
        </is>
      </c>
    </row>
    <row r="51" ht="18" customHeight="1">
      <c r="A51" s="21" t="n">
        <v>13</v>
      </c>
      <c r="B51" s="22" t="inlineStr">
        <is>
          <t>21.7%</t>
        </is>
      </c>
      <c r="C51" s="25" t="n">
        <v>2.1</v>
      </c>
      <c r="D51" s="24" t="inlineStr">
        <is>
          <t>Deficiente / Sin Entrega</t>
        </is>
      </c>
    </row>
    <row r="52" ht="18" customHeight="1">
      <c r="A52" s="21" t="n">
        <v>12</v>
      </c>
      <c r="B52" s="22" t="inlineStr">
        <is>
          <t>20.0%</t>
        </is>
      </c>
      <c r="C52" s="25" t="n">
        <v>2</v>
      </c>
      <c r="D52" s="24" t="inlineStr">
        <is>
          <t>Deficiente / Sin Entrega</t>
        </is>
      </c>
    </row>
    <row r="53" ht="18" customHeight="1">
      <c r="A53" s="21" t="n">
        <v>11</v>
      </c>
      <c r="B53" s="22" t="inlineStr">
        <is>
          <t>18.3%</t>
        </is>
      </c>
      <c r="C53" s="25" t="n">
        <v>1.9</v>
      </c>
      <c r="D53" s="24" t="inlineStr">
        <is>
          <t>Deficiente / Sin Entrega</t>
        </is>
      </c>
    </row>
    <row r="54" ht="18" customHeight="1">
      <c r="A54" s="21" t="n">
        <v>10</v>
      </c>
      <c r="B54" s="22" t="inlineStr">
        <is>
          <t>16.7%</t>
        </is>
      </c>
      <c r="C54" s="25" t="n">
        <v>1.8</v>
      </c>
      <c r="D54" s="24" t="inlineStr">
        <is>
          <t>Deficiente / Sin Entrega</t>
        </is>
      </c>
    </row>
    <row r="55" ht="18" customHeight="1">
      <c r="A55" s="21" t="n">
        <v>9</v>
      </c>
      <c r="B55" s="22" t="inlineStr">
        <is>
          <t>15.0%</t>
        </is>
      </c>
      <c r="C55" s="25" t="n">
        <v>1.8</v>
      </c>
      <c r="D55" s="24" t="inlineStr">
        <is>
          <t>Deficiente / Sin Entrega</t>
        </is>
      </c>
    </row>
    <row r="56" ht="18" customHeight="1">
      <c r="A56" s="21" t="n">
        <v>8</v>
      </c>
      <c r="B56" s="22" t="inlineStr">
        <is>
          <t>13.3%</t>
        </is>
      </c>
      <c r="C56" s="25" t="n">
        <v>1.7</v>
      </c>
      <c r="D56" s="24" t="inlineStr">
        <is>
          <t>Deficiente / Sin Entrega</t>
        </is>
      </c>
    </row>
    <row r="57" ht="18" customHeight="1">
      <c r="A57" s="21" t="n">
        <v>7</v>
      </c>
      <c r="B57" s="22" t="inlineStr">
        <is>
          <t>11.7%</t>
        </is>
      </c>
      <c r="C57" s="25" t="n">
        <v>1.6</v>
      </c>
      <c r="D57" s="24" t="inlineStr">
        <is>
          <t>Deficiente / Sin Entrega</t>
        </is>
      </c>
    </row>
    <row r="58" ht="18" customHeight="1">
      <c r="A58" s="21" t="n">
        <v>6</v>
      </c>
      <c r="B58" s="22" t="inlineStr">
        <is>
          <t>10.0%</t>
        </is>
      </c>
      <c r="C58" s="25" t="n">
        <v>1.5</v>
      </c>
      <c r="D58" s="24" t="inlineStr">
        <is>
          <t>Deficiente / Sin Entrega</t>
        </is>
      </c>
    </row>
    <row r="59" ht="18" customHeight="1">
      <c r="A59" s="21" t="n">
        <v>5</v>
      </c>
      <c r="B59" s="22" t="inlineStr">
        <is>
          <t>8.3%</t>
        </is>
      </c>
      <c r="C59" s="25" t="n">
        <v>1.4</v>
      </c>
      <c r="D59" s="24" t="inlineStr">
        <is>
          <t>Deficiente / Sin Entrega</t>
        </is>
      </c>
    </row>
    <row r="60" ht="18" customHeight="1">
      <c r="A60" s="21" t="n">
        <v>4</v>
      </c>
      <c r="B60" s="22" t="inlineStr">
        <is>
          <t>6.7%</t>
        </is>
      </c>
      <c r="C60" s="25" t="n">
        <v>1.3</v>
      </c>
      <c r="D60" s="24" t="inlineStr">
        <is>
          <t>Deficiente / Sin Entrega</t>
        </is>
      </c>
    </row>
    <row r="61" ht="18" customHeight="1">
      <c r="A61" s="21" t="n">
        <v>3</v>
      </c>
      <c r="B61" s="22" t="inlineStr">
        <is>
          <t>5.0%</t>
        </is>
      </c>
      <c r="C61" s="25" t="n">
        <v>1.2</v>
      </c>
      <c r="D61" s="24" t="inlineStr">
        <is>
          <t>Deficiente / Sin Entrega</t>
        </is>
      </c>
    </row>
    <row r="62" ht="18" customHeight="1">
      <c r="A62" s="21" t="n">
        <v>2</v>
      </c>
      <c r="B62" s="22" t="inlineStr">
        <is>
          <t>3.3%</t>
        </is>
      </c>
      <c r="C62" s="25" t="n">
        <v>1.2</v>
      </c>
      <c r="D62" s="24" t="inlineStr">
        <is>
          <t>Deficiente / Sin Entrega</t>
        </is>
      </c>
    </row>
    <row r="63" ht="18" customHeight="1">
      <c r="A63" s="21" t="n">
        <v>1</v>
      </c>
      <c r="B63" s="22" t="inlineStr">
        <is>
          <t>1.7%</t>
        </is>
      </c>
      <c r="C63" s="25" t="n">
        <v>1.1</v>
      </c>
      <c r="D63" s="24" t="inlineStr">
        <is>
          <t>Deficiente / Sin Entrega</t>
        </is>
      </c>
    </row>
    <row r="64" ht="18" customHeight="1">
      <c r="A64" s="21" t="n">
        <v>0</v>
      </c>
      <c r="B64" s="22" t="inlineStr">
        <is>
          <t>0.0%</t>
        </is>
      </c>
      <c r="C64" s="25" t="n">
        <v>1</v>
      </c>
      <c r="D64" s="24" t="inlineStr">
        <is>
          <t>Deficiente / Sin Entrega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2026-09-15T01:56:54Z</dcterms:created>
  <dcterms:modified xmlns:dcterms="http://purl.org/dc/terms/" xmlns:xsi="http://www.w3.org/2001/XMLSchema-instance" xsi:type="dcterms:W3CDTF">2026-09-15T01:56:55Z</dcterms:modified>
</cp:coreProperties>
</file>