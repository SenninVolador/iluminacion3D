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cion_Martes" sheetId="1" state="visible" r:id="rId1"/>
    <sheet xmlns:r="http://schemas.openxmlformats.org/officeDocument/2006/relationships" name="Matriz_Rubrica" sheetId="2" state="visible" r:id="rId2"/>
    <sheet xmlns:r="http://schemas.openxmlformats.org/officeDocument/2006/relationships" name="Escala_Conver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8">
    <font>
      <name val="Calibri"/>
      <family val="2"/>
      <color theme="1"/>
      <sz val="11"/>
      <scheme val="minor"/>
    </font>
    <font>
      <name val="Segoe UI"/>
      <b val="1"/>
      <color rgb="00111827"/>
      <sz val="14"/>
    </font>
    <font>
      <name val="Segoe UI"/>
      <i val="1"/>
      <color rgb="004B5563"/>
      <sz val="10"/>
    </font>
    <font>
      <name val="Segoe UI"/>
      <b val="1"/>
      <color rgb="00374151"/>
      <sz val="8.5"/>
    </font>
    <font>
      <name val="Segoe UI"/>
      <b val="1"/>
      <color rgb="00111827"/>
      <sz val="11"/>
    </font>
    <font>
      <name val="Segoe UI"/>
      <b val="1"/>
      <color rgb="00FFFFFF"/>
      <sz val="9"/>
    </font>
    <font>
      <name val="Segoe UI"/>
      <b val="1"/>
      <color rgb="00111827"/>
      <sz val="9"/>
    </font>
    <font>
      <name val="Segoe UI"/>
      <color rgb="001F2937"/>
      <sz val="9"/>
    </font>
  </fonts>
  <fills count="7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11827"/>
        <bgColor rgb="00111827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E5E7EB"/>
        <bgColor rgb="00E5E7EB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medium">
        <color rgb="0011182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 vertical="center"/>
    </xf>
    <xf numFmtId="164" fontId="4" fillId="2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1" workbookViewId="0">
      <selection activeCell="A1" sqref="A1"/>
    </sheetView>
  </sheetViews>
  <sheetFormatPr baseColWidth="8" defaultRowHeight="15" outlineLevelCol="0"/>
  <cols>
    <col width="5" customWidth="1" min="1" max="1"/>
    <col width="36" customWidth="1" min="2" max="2"/>
    <col width="17" customWidth="1" min="3" max="3"/>
    <col width="17" customWidth="1" min="4" max="4"/>
    <col width="17" customWidth="1" min="5" max="5"/>
    <col width="17" customWidth="1" min="6" max="6"/>
    <col width="16" customWidth="1" min="7" max="7"/>
    <col width="11" customWidth="1" min="8" max="8"/>
    <col width="13" customWidth="1" min="9" max="9"/>
    <col width="13" customWidth="1" min="10" max="10"/>
    <col width="44" customWidth="1" min="11" max="11"/>
  </cols>
  <sheetData>
    <row r="1">
      <c r="A1" s="1" t="inlineStr">
        <is>
          <t>EVALUACIÓN ENTREGA N°2: ILUMINACIÓN DE INTERIOR, MOODBOARD Y RÉPLICA — SECCIÓN MARTES</t>
        </is>
      </c>
    </row>
    <row r="2">
      <c r="A2" s="2" t="inlineStr">
        <is>
          <t>Asignatura: Iluminación 3D y Shaders · Docente: Daniel Rojas (UNIACC) · Escala: 1.0 a 7.0 (Exigencia 60%, 36 pts = 4.0)</t>
        </is>
      </c>
    </row>
    <row r="4">
      <c r="B4" s="3" t="inlineStr">
        <is>
          <t>Promedio Curso:</t>
        </is>
      </c>
      <c r="C4" s="4">
        <f>AVERAGE(I6:I18)</f>
        <v/>
      </c>
      <c r="D4" s="3" t="inlineStr">
        <is>
          <t>Tasa Aprobación:</t>
        </is>
      </c>
      <c r="E4" s="5">
        <f>COUNTIF(J6:J18,"APROBADO")/COUNTA(B6:B18)</f>
        <v/>
      </c>
      <c r="F4" s="3" t="inlineStr">
        <is>
          <t>Nota Máxima:</t>
        </is>
      </c>
      <c r="G4" s="4">
        <f>MAX(I6:I18)</f>
        <v/>
      </c>
      <c r="H4" s="3" t="inlineStr">
        <is>
          <t>Nota Mínima:</t>
        </is>
      </c>
      <c r="I4" s="4">
        <f>MIN(I6:I18)</f>
        <v/>
      </c>
    </row>
    <row r="5" ht="42" customHeight="1">
      <c r="A5" s="6" t="inlineStr">
        <is>
          <t>N°</t>
        </is>
      </c>
      <c r="B5" s="6" t="inlineStr">
        <is>
          <t>Estudiante (Sección Martes)</t>
        </is>
      </c>
      <c r="C5" s="6" t="inlineStr">
        <is>
          <t>1. Moodboard
y Referencias
(Máx 9 pts / 15%)</t>
        </is>
      </c>
      <c r="D5" s="6" t="inlineStr">
        <is>
          <t>2. Iluminación
Interior
(Máx 15 pts / 25%)</t>
        </is>
      </c>
      <c r="E5" s="6" t="inlineStr">
        <is>
          <t>3. Uso Correcto
de Luces
(Máx 18 pts / 30%)</t>
        </is>
      </c>
      <c r="F5" s="6" t="inlineStr">
        <is>
          <t>4. Intención
y Atmósfera
(Máx 12 pts / 20%)</t>
        </is>
      </c>
      <c r="G5" s="6" t="inlineStr">
        <is>
          <t>5. Nomenclatura
y Orden
(Máx 6 pts / 10%)</t>
        </is>
      </c>
      <c r="H5" s="6" t="inlineStr">
        <is>
          <t>Puntaje
Total
(Máx 60)</t>
        </is>
      </c>
      <c r="I5" s="6" t="inlineStr">
        <is>
          <t>Nota Final
(Escala 1.0 - 7.0)</t>
        </is>
      </c>
      <c r="J5" s="6" t="inlineStr">
        <is>
          <t>Estado
Académico</t>
        </is>
      </c>
      <c r="K5" s="6" t="inlineStr">
        <is>
          <t>Observaciones y Retroalimentación Técnica</t>
        </is>
      </c>
    </row>
    <row r="6" ht="24" customHeight="1">
      <c r="A6" s="7" t="n">
        <v>1</v>
      </c>
      <c r="B6" s="8" t="inlineStr">
        <is>
          <t>JOSE MIGUEL FARFAN CARRASCO</t>
        </is>
      </c>
      <c r="C6" s="9" t="n"/>
      <c r="D6" s="9" t="n"/>
      <c r="E6" s="9" t="n"/>
      <c r="F6" s="9" t="n"/>
      <c r="G6" s="9" t="n"/>
      <c r="H6" s="7">
        <f>SUM(C6:G6)</f>
        <v/>
      </c>
      <c r="I6" s="10">
        <f>IF(H6="","",ROUND(IF(H6&lt;36, 1 + 3*(H6/36), 4 + 3*((H6-36)/(60-36))), 1))</f>
        <v/>
      </c>
      <c r="J6" s="7">
        <f>IF(I6="","",IF(I6&gt;=4.0,"APROBADO","REPROBADO"))</f>
        <v/>
      </c>
      <c r="K6" s="8" t="n"/>
    </row>
    <row r="7" ht="24" customHeight="1">
      <c r="A7" s="11" t="n">
        <v>2</v>
      </c>
      <c r="B7" s="12" t="inlineStr">
        <is>
          <t>BENJAMIN FERNANDO FIGUEROA GONZALEZ</t>
        </is>
      </c>
      <c r="C7" s="13" t="n"/>
      <c r="D7" s="13" t="n"/>
      <c r="E7" s="13" t="n"/>
      <c r="F7" s="13" t="n"/>
      <c r="G7" s="13" t="n"/>
      <c r="H7" s="11">
        <f>SUM(C7:G7)</f>
        <v/>
      </c>
      <c r="I7" s="10">
        <f>IF(H7="","",ROUND(IF(H7&lt;36, 1 + 3*(H7/36), 4 + 3*((H7-36)/(60-36))), 1))</f>
        <v/>
      </c>
      <c r="J7" s="11">
        <f>IF(I7="","",IF(I7&gt;=4.0,"APROBADO","REPROBADO"))</f>
        <v/>
      </c>
      <c r="K7" s="12" t="n"/>
    </row>
    <row r="8" ht="24" customHeight="1">
      <c r="A8" s="7" t="n">
        <v>3</v>
      </c>
      <c r="B8" s="8" t="inlineStr">
        <is>
          <t>MATIAS IGNACIO GODOY TIRADO</t>
        </is>
      </c>
      <c r="C8" s="9" t="n"/>
      <c r="D8" s="9" t="n"/>
      <c r="E8" s="9" t="n"/>
      <c r="F8" s="9" t="n"/>
      <c r="G8" s="9" t="n"/>
      <c r="H8" s="7">
        <f>SUM(C8:G8)</f>
        <v/>
      </c>
      <c r="I8" s="10">
        <f>IF(H8="","",ROUND(IF(H8&lt;36, 1 + 3*(H8/36), 4 + 3*((H8-36)/(60-36))), 1))</f>
        <v/>
      </c>
      <c r="J8" s="7">
        <f>IF(I8="","",IF(I8&gt;=4.0,"APROBADO","REPROBADO"))</f>
        <v/>
      </c>
      <c r="K8" s="8" t="n"/>
    </row>
    <row r="9" ht="24" customHeight="1">
      <c r="A9" s="11" t="n">
        <v>4</v>
      </c>
      <c r="B9" s="12" t="inlineStr">
        <is>
          <t>HENRY ALEXANDER HERNANDEZ PEREZ</t>
        </is>
      </c>
      <c r="C9" s="13" t="n"/>
      <c r="D9" s="13" t="n"/>
      <c r="E9" s="13" t="n"/>
      <c r="F9" s="13" t="n"/>
      <c r="G9" s="13" t="n"/>
      <c r="H9" s="11">
        <f>SUM(C9:G9)</f>
        <v/>
      </c>
      <c r="I9" s="10">
        <f>IF(H9="","",ROUND(IF(H9&lt;36, 1 + 3*(H9/36), 4 + 3*((H9-36)/(60-36))), 1))</f>
        <v/>
      </c>
      <c r="J9" s="11">
        <f>IF(I9="","",IF(I9&gt;=4.0,"APROBADO","REPROBADO"))</f>
        <v/>
      </c>
      <c r="K9" s="12" t="n"/>
    </row>
    <row r="10" ht="24" customHeight="1">
      <c r="A10" s="7" t="n">
        <v>5</v>
      </c>
      <c r="B10" s="8" t="inlineStr">
        <is>
          <t>GAEL ALBERTO IBARRA MONTECINOS</t>
        </is>
      </c>
      <c r="C10" s="9" t="n"/>
      <c r="D10" s="9" t="n"/>
      <c r="E10" s="9" t="n"/>
      <c r="F10" s="9" t="n"/>
      <c r="G10" s="9" t="n"/>
      <c r="H10" s="7">
        <f>SUM(C10:G10)</f>
        <v/>
      </c>
      <c r="I10" s="10">
        <f>IF(H10="","",ROUND(IF(H10&lt;36, 1 + 3*(H10/36), 4 + 3*((H10-36)/(60-36))), 1))</f>
        <v/>
      </c>
      <c r="J10" s="7">
        <f>IF(I10="","",IF(I10&gt;=4.0,"APROBADO","REPROBADO"))</f>
        <v/>
      </c>
      <c r="K10" s="8" t="n"/>
    </row>
    <row r="11" ht="24" customHeight="1">
      <c r="A11" s="11" t="n">
        <v>6</v>
      </c>
      <c r="B11" s="12" t="inlineStr">
        <is>
          <t>LUKA PASCAL LATIFE CUEVAS</t>
        </is>
      </c>
      <c r="C11" s="13" t="n"/>
      <c r="D11" s="13" t="n"/>
      <c r="E11" s="13" t="n"/>
      <c r="F11" s="13" t="n"/>
      <c r="G11" s="13" t="n"/>
      <c r="H11" s="11">
        <f>SUM(C11:G11)</f>
        <v/>
      </c>
      <c r="I11" s="10">
        <f>IF(H11="","",ROUND(IF(H11&lt;36, 1 + 3*(H11/36), 4 + 3*((H11-36)/(60-36))), 1))</f>
        <v/>
      </c>
      <c r="J11" s="11">
        <f>IF(I11="","",IF(I11&gt;=4.0,"APROBADO","REPROBADO"))</f>
        <v/>
      </c>
      <c r="K11" s="12" t="n"/>
    </row>
    <row r="12" ht="24" customHeight="1">
      <c r="A12" s="7" t="n">
        <v>7</v>
      </c>
      <c r="B12" s="8" t="inlineStr">
        <is>
          <t>MEI MALDONADO DUARTE</t>
        </is>
      </c>
      <c r="C12" s="9" t="n"/>
      <c r="D12" s="9" t="n"/>
      <c r="E12" s="9" t="n"/>
      <c r="F12" s="9" t="n"/>
      <c r="G12" s="9" t="n"/>
      <c r="H12" s="7">
        <f>SUM(C12:G12)</f>
        <v/>
      </c>
      <c r="I12" s="10">
        <f>IF(H12="","",ROUND(IF(H12&lt;36, 1 + 3*(H12/36), 4 + 3*((H12-36)/(60-36))), 1))</f>
        <v/>
      </c>
      <c r="J12" s="7">
        <f>IF(I12="","",IF(I12&gt;=4.0,"APROBADO","REPROBADO"))</f>
        <v/>
      </c>
      <c r="K12" s="8" t="n"/>
    </row>
    <row r="13" ht="24" customHeight="1">
      <c r="A13" s="11" t="n">
        <v>8</v>
      </c>
      <c r="B13" s="12" t="inlineStr">
        <is>
          <t>ELIZABETH FABIOLA MEDRANO MORAN</t>
        </is>
      </c>
      <c r="C13" s="13" t="n"/>
      <c r="D13" s="13" t="n"/>
      <c r="E13" s="13" t="n"/>
      <c r="F13" s="13" t="n"/>
      <c r="G13" s="13" t="n"/>
      <c r="H13" s="11">
        <f>SUM(C13:G13)</f>
        <v/>
      </c>
      <c r="I13" s="10">
        <f>IF(H13="","",ROUND(IF(H13&lt;36, 1 + 3*(H13/36), 4 + 3*((H13-36)/(60-36))), 1))</f>
        <v/>
      </c>
      <c r="J13" s="11">
        <f>IF(I13="","",IF(I13&gt;=4.0,"APROBADO","REPROBADO"))</f>
        <v/>
      </c>
      <c r="K13" s="12" t="n"/>
    </row>
    <row r="14" ht="24" customHeight="1">
      <c r="A14" s="7" t="n">
        <v>9</v>
      </c>
      <c r="B14" s="8" t="inlineStr">
        <is>
          <t>FREDDY DANILO MONTANARES ROSALES</t>
        </is>
      </c>
      <c r="C14" s="9" t="n"/>
      <c r="D14" s="9" t="n"/>
      <c r="E14" s="9" t="n"/>
      <c r="F14" s="9" t="n"/>
      <c r="G14" s="9" t="n"/>
      <c r="H14" s="7">
        <f>SUM(C14:G14)</f>
        <v/>
      </c>
      <c r="I14" s="10">
        <f>IF(H14="","",ROUND(IF(H14&lt;36, 1 + 3*(H14/36), 4 + 3*((H14-36)/(60-36))), 1))</f>
        <v/>
      </c>
      <c r="J14" s="7">
        <f>IF(I14="","",IF(I14&gt;=4.0,"APROBADO","REPROBADO"))</f>
        <v/>
      </c>
      <c r="K14" s="8" t="n"/>
    </row>
    <row r="15" ht="24" customHeight="1">
      <c r="A15" s="11" t="n">
        <v>10</v>
      </c>
      <c r="B15" s="12" t="inlineStr">
        <is>
          <t>JOSE FRANCISCO NAVARRETE BARRIOS</t>
        </is>
      </c>
      <c r="C15" s="13" t="n"/>
      <c r="D15" s="13" t="n"/>
      <c r="E15" s="13" t="n"/>
      <c r="F15" s="13" t="n"/>
      <c r="G15" s="13" t="n"/>
      <c r="H15" s="11">
        <f>SUM(C15:G15)</f>
        <v/>
      </c>
      <c r="I15" s="10">
        <f>IF(H15="","",ROUND(IF(H15&lt;36, 1 + 3*(H15/36), 4 + 3*((H15-36)/(60-36))), 1))</f>
        <v/>
      </c>
      <c r="J15" s="11">
        <f>IF(I15="","",IF(I15&gt;=4.0,"APROBADO","REPROBADO"))</f>
        <v/>
      </c>
      <c r="K15" s="12" t="n"/>
    </row>
    <row r="16" ht="24" customHeight="1">
      <c r="A16" s="7" t="n">
        <v>11</v>
      </c>
      <c r="B16" s="8" t="inlineStr">
        <is>
          <t>NATANIEL ASTRO REYES FLORES</t>
        </is>
      </c>
      <c r="C16" s="9" t="n"/>
      <c r="D16" s="9" t="n"/>
      <c r="E16" s="9" t="n"/>
      <c r="F16" s="9" t="n"/>
      <c r="G16" s="9" t="n"/>
      <c r="H16" s="7">
        <f>SUM(C16:G16)</f>
        <v/>
      </c>
      <c r="I16" s="10">
        <f>IF(H16="","",ROUND(IF(H16&lt;36, 1 + 3*(H16/36), 4 + 3*((H16-36)/(60-36))), 1))</f>
        <v/>
      </c>
      <c r="J16" s="7">
        <f>IF(I16="","",IF(I16&gt;=4.0,"APROBADO","REPROBADO"))</f>
        <v/>
      </c>
      <c r="K16" s="8" t="n"/>
    </row>
    <row r="17" ht="24" customHeight="1">
      <c r="A17" s="11" t="n">
        <v>12</v>
      </c>
      <c r="B17" s="12" t="inlineStr">
        <is>
          <t>DANIEL ELIAS ROJAS LOPEZ</t>
        </is>
      </c>
      <c r="C17" s="13" t="n"/>
      <c r="D17" s="13" t="n"/>
      <c r="E17" s="13" t="n"/>
      <c r="F17" s="13" t="n"/>
      <c r="G17" s="13" t="n"/>
      <c r="H17" s="11">
        <f>SUM(C17:G17)</f>
        <v/>
      </c>
      <c r="I17" s="10">
        <f>IF(H17="","",ROUND(IF(H17&lt;36, 1 + 3*(H17/36), 4 + 3*((H17-36)/(60-36))), 1))</f>
        <v/>
      </c>
      <c r="J17" s="11">
        <f>IF(I17="","",IF(I17&gt;=4.0,"APROBADO","REPROBADO"))</f>
        <v/>
      </c>
      <c r="K17" s="12" t="n"/>
    </row>
    <row r="18" ht="24" customHeight="1">
      <c r="A18" s="7" t="n">
        <v>13</v>
      </c>
      <c r="B18" s="8" t="inlineStr">
        <is>
          <t>CRISTOBAL NICOLAS VALENZUELA PRESSAC</t>
        </is>
      </c>
      <c r="C18" s="9" t="n"/>
      <c r="D18" s="9" t="n"/>
      <c r="E18" s="9" t="n"/>
      <c r="F18" s="9" t="n"/>
      <c r="G18" s="9" t="n"/>
      <c r="H18" s="7">
        <f>SUM(C18:G18)</f>
        <v/>
      </c>
      <c r="I18" s="10">
        <f>IF(H18="","",ROUND(IF(H18&lt;36, 1 + 3*(H18/36), 4 + 3*((H18-36)/(60-36))), 1))</f>
        <v/>
      </c>
      <c r="J18" s="7">
        <f>IF(I18="","",IF(I18&gt;=4.0,"APROBADO","REPROBADO"))</f>
        <v/>
      </c>
      <c r="K18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 outlineLevelCol="0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10" customWidth="1" min="6" max="6"/>
    <col width="10" customWidth="1" min="7" max="7"/>
  </cols>
  <sheetData>
    <row r="1">
      <c r="A1" s="1" t="inlineStr">
        <is>
          <t>MATRIZ ANALÍTICA DE EVALUACIÓN: ENTREGA N°2 — ILUMINACIÓN DE INTERIOR</t>
        </is>
      </c>
    </row>
    <row r="2">
      <c r="A2" s="2" t="inlineStr">
        <is>
          <t>Desglose por niveles de desempeño para cada criterio de evaluación (Total: 60 Puntos = 100%)</t>
        </is>
      </c>
    </row>
    <row r="4" ht="28" customHeight="1">
      <c r="A4" s="6" t="inlineStr">
        <is>
          <t>Criterio y Ponderación</t>
        </is>
      </c>
      <c r="B4" s="6" t="inlineStr">
        <is>
          <t>Excelente (100%)</t>
        </is>
      </c>
      <c r="C4" s="6" t="inlineStr">
        <is>
          <t>Bueno (75%)</t>
        </is>
      </c>
      <c r="D4" s="6" t="inlineStr">
        <is>
          <t>Suficiente (50%)</t>
        </is>
      </c>
      <c r="E4" s="6" t="inlineStr">
        <is>
          <t>Insuficiente (0-25%)</t>
        </is>
      </c>
      <c r="F4" s="6" t="inlineStr">
        <is>
          <t>Pts Máx</t>
        </is>
      </c>
      <c r="G4" s="6" t="inlineStr">
        <is>
          <t>Pond (%)</t>
        </is>
      </c>
    </row>
    <row r="5" ht="65" customHeight="1">
      <c r="A5" s="14" t="inlineStr">
        <is>
          <t>1. Referencias Visuales, Análisis y Moodboard</t>
        </is>
      </c>
      <c r="B5" s="8" t="inlineStr">
        <is>
          <t>Moodboard estructurado con referencias de alta calidad cinematográfica/videojuegos AAA. Desglose analítico riguroso (fuentes, temperatura Kelvin, clave tonal). La escena 3D refleja fielmente la dirección visual propuesta.</t>
        </is>
      </c>
      <c r="C5" s="8" t="inlineStr">
        <is>
          <t>Moodboard completo pero con desglose técnico elemental o leve discrepancia en la traslación de la paleta y contrastes a la escena 3D.</t>
        </is>
      </c>
      <c r="D5" s="8" t="inlineStr">
        <is>
          <t>Moodboard escaso o desorganizado; recopilación de imágenes aisladas sin análisis técnico de fuentes ni intención clara.</t>
        </is>
      </c>
      <c r="E5" s="8" t="inlineStr">
        <is>
          <t>No presenta moodboard o incluye imágenes no pertinentes sin relación con la escena desarrollada.</t>
        </is>
      </c>
      <c r="F5" s="15" t="n">
        <v>9</v>
      </c>
      <c r="G5" s="15" t="inlineStr">
        <is>
          <t>15%</t>
        </is>
      </c>
    </row>
    <row r="6" ht="65" customHeight="1">
      <c r="A6" s="14" t="inlineStr">
        <is>
          <t>2. Iluminación Interior y Espacialidad</t>
        </is>
      </c>
      <c r="B6" s="12" t="inlineStr">
        <is>
          <t>Recinto con excelente lectura volumétrica y planos de profundidad (primer plano, medio y fondo). Luz motivada por aberturas. Rebotes indirectos creíbles (Lumen) sin empastar sombras ni lavar negros con luz falsa.</t>
        </is>
      </c>
      <c r="C6" s="12" t="inlineStr">
        <is>
          <t>Espacio bien iluminado con sensación de volumen, aunque con leve aplanamiento en rincones o rebotes indirectos ligeramente desbalanceados.</t>
        </is>
      </c>
      <c r="D6" s="12" t="inlineStr">
        <is>
          <t>Lectura espacial deficiente; zonas excesivamente oscuras sin detalle o iluminación plana que debilita la tridimensionalidad del interior.</t>
        </is>
      </c>
      <c r="E6" s="12" t="inlineStr">
        <is>
          <t>Espacio interior sin profundidad, sobreexpuesto en su totalidad o en penumbra ilegible por falta de rebotes.</t>
        </is>
      </c>
      <c r="F6" s="15" t="n">
        <v>15</v>
      </c>
      <c r="G6" s="15" t="inlineStr">
        <is>
          <t>25%</t>
        </is>
      </c>
    </row>
    <row r="7" ht="65" customHeight="1">
      <c r="A7" s="14" t="inlineStr">
        <is>
          <t>3. Uso Correcto y Técnico de Luces</t>
        </is>
      </c>
      <c r="B7" s="8" t="inlineStr">
        <is>
          <t>Selección idónea de emisores (Rect Lights en vanos, Point/Spot con Source Radius en bombillas). Jerarquía clara según Brejon. Atenuación física realista, sombras calibradas y balance térmico Kelvin impecable.</t>
        </is>
      </c>
      <c r="C7" s="8" t="inlineStr">
        <is>
          <t>Tipos de luces adecuados y bien ubicados, pero con desajustes menores en radio de atenuación, sombras algo duras o leve desbalance Kelvin.</t>
        </is>
      </c>
      <c r="D7" s="8" t="inlineStr">
        <is>
          <t>Uso incorrecto de tipos de luz (ej. Point Lights en ventanas), sombras con artefactos o intensidades arbitrarias sin jerarquía física.</t>
        </is>
      </c>
      <c r="E7" s="8" t="inlineStr">
        <is>
          <t>Luces incoherentes, fugas de luz (light leaks) a través de muros o esquema plano sin emisores justificados.</t>
        </is>
      </c>
      <c r="F7" s="15" t="n">
        <v>18</v>
      </c>
      <c r="G7" s="15" t="inlineStr">
        <is>
          <t>30%</t>
        </is>
      </c>
    </row>
    <row r="8" ht="65" customHeight="1">
      <c r="A8" s="14" t="inlineStr">
        <is>
          <t>4. Intención Narrativa y Atmósfera</t>
        </is>
      </c>
      <c r="B8" s="12" t="inlineStr">
        <is>
          <t>Atmósfera dramática definida y envolvente (tensión, calidez, melancolía, etc.). Punto focal nítido donde la luz guía la mirada de forma orgánica hacia el centro de interés. Niebla volumétrica usada con sentido estético.</t>
        </is>
      </c>
      <c r="C8" s="12" t="inlineStr">
        <is>
          <t>Atmósfera presente y perceptible, pero el punto focal compite con otros brillos secundarios o la niebla volumétrica satura ligeramente el encuadre.</t>
        </is>
      </c>
      <c r="D8" s="12" t="inlineStr">
        <is>
          <t>Intención confusa; la iluminación no transmite un tono emocional claro ni logra conducir la atención hacia un elemento protagónico.</t>
        </is>
      </c>
      <c r="E8" s="12" t="inlineStr">
        <is>
          <t>Escena sin atmósfera ni intención narrativa; iluminación puramente utilitaria sin propósito estético ni jerarquía visual.</t>
        </is>
      </c>
      <c r="F8" s="15" t="n">
        <v>12</v>
      </c>
      <c r="G8" s="15" t="inlineStr">
        <is>
          <t>20%</t>
        </is>
      </c>
    </row>
    <row r="9" ht="65" customHeight="1">
      <c r="A9" s="14" t="inlineStr">
        <is>
          <t>5. Nomenclatura, Orden y Entregables</t>
        </is>
      </c>
      <c r="B9" s="8" t="inlineStr">
        <is>
          <t>Nomenclatura oficial UE5 respetada en la totalidad de actores. Outliner limpio organizado en carpetas temáticas. Post-Process calibrado sin quemar blancos. Cuatro capturas HD y lámina entregadas impecablemente.</t>
        </is>
      </c>
      <c r="C9" s="8" t="inlineStr">
        <is>
          <t>Proyecto ordenado con descuidos menores en nombres de luces o carpetas. Post-Process correcto y capturas completas.</t>
        </is>
      </c>
      <c r="D9" s="8" t="inlineStr">
        <is>
          <t>Desorden notorio en Outliner (nombres por defecto PointLight_1), falta una captura solicitada o exposición inestable.</t>
        </is>
      </c>
      <c r="E9" s="8" t="inlineStr">
        <is>
          <t>Proyecto desorganizado, archivos faltantes, sin carpetas ni nomenclatura estándar, o faltan entregables clave.</t>
        </is>
      </c>
      <c r="F9" s="15" t="n">
        <v>6</v>
      </c>
      <c r="G9" s="15" t="inlineStr">
        <is>
          <t>10%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6" customWidth="1" min="2" max="2"/>
    <col width="18" customWidth="1" min="3" max="3"/>
    <col width="42" customWidth="1" min="4" max="4"/>
  </cols>
  <sheetData>
    <row r="1">
      <c r="A1" s="1" t="inlineStr">
        <is>
          <t>TABLA OFICIAL DE CONVERSIÓN: PUNTAJE A NOTA (ESCALA CHILENA 1.0 - 7.0 AL 60%)</t>
        </is>
      </c>
    </row>
    <row r="2">
      <c r="A2" s="2" t="inlineStr">
        <is>
          <t>Puntaje Máximo: 60 Puntos · Puntaje de Aprobación (Nota 4.0): 36 Puntos</t>
        </is>
      </c>
    </row>
    <row r="4" ht="26" customHeight="1">
      <c r="A4" s="6" t="inlineStr">
        <is>
          <t>Puntaje</t>
        </is>
      </c>
      <c r="B4" s="6" t="inlineStr">
        <is>
          <t>Nota Calculada</t>
        </is>
      </c>
      <c r="C4" s="6" t="inlineStr">
        <is>
          <t>Estado Académico</t>
        </is>
      </c>
      <c r="D4" s="6" t="inlineStr">
        <is>
          <t>Nivel de Desempeño y Criterio</t>
        </is>
      </c>
    </row>
    <row r="5" ht="19" customHeight="1">
      <c r="A5" s="11" t="n">
        <v>60</v>
      </c>
      <c r="B5" s="10" t="n">
        <v>7</v>
      </c>
      <c r="C5" s="11" t="inlineStr">
        <is>
          <t>APROBADO</t>
        </is>
      </c>
      <c r="D5" s="12" t="inlineStr">
        <is>
          <t>Sobresaliente: Dominio técnico impecable y réplica cinematográfica profesional.</t>
        </is>
      </c>
    </row>
    <row r="6" ht="19" customHeight="1">
      <c r="A6" s="7" t="n">
        <v>59</v>
      </c>
      <c r="B6" s="10" t="n">
        <v>6.9</v>
      </c>
      <c r="C6" s="7" t="inlineStr">
        <is>
          <t>APROBADO</t>
        </is>
      </c>
      <c r="D6" s="8" t="inlineStr">
        <is>
          <t>Muy Bueno: Excelente nivel de iluminación y moodboard sólido.</t>
        </is>
      </c>
    </row>
    <row r="7" ht="19" customHeight="1">
      <c r="A7" s="11" t="n">
        <v>58</v>
      </c>
      <c r="B7" s="10" t="n">
        <v>6.8</v>
      </c>
      <c r="C7" s="11" t="inlineStr">
        <is>
          <t>APROBADO</t>
        </is>
      </c>
      <c r="D7" s="12" t="inlineStr">
        <is>
          <t>Muy Bueno: Excelente nivel de iluminación y moodboard sólido.</t>
        </is>
      </c>
    </row>
    <row r="8" ht="19" customHeight="1">
      <c r="A8" s="7" t="n">
        <v>57</v>
      </c>
      <c r="B8" s="10" t="n">
        <v>6.6</v>
      </c>
      <c r="C8" s="7" t="inlineStr">
        <is>
          <t>APROBADO</t>
        </is>
      </c>
      <c r="D8" s="8" t="inlineStr">
        <is>
          <t>Muy Bueno: Excelente nivel de iluminación y moodboard sólido.</t>
        </is>
      </c>
    </row>
    <row r="9" ht="19" customHeight="1">
      <c r="A9" s="11" t="n">
        <v>56</v>
      </c>
      <c r="B9" s="10" t="n">
        <v>6.5</v>
      </c>
      <c r="C9" s="11" t="inlineStr">
        <is>
          <t>APROBADO</t>
        </is>
      </c>
      <c r="D9" s="12" t="inlineStr">
        <is>
          <t>Muy Bueno: Excelente nivel de iluminación y moodboard sólido.</t>
        </is>
      </c>
    </row>
    <row r="10" ht="19" customHeight="1">
      <c r="A10" s="7" t="n">
        <v>55</v>
      </c>
      <c r="B10" s="10" t="n">
        <v>6.4</v>
      </c>
      <c r="C10" s="7" t="inlineStr">
        <is>
          <t>APROBADO</t>
        </is>
      </c>
      <c r="D10" s="8" t="inlineStr">
        <is>
          <t>Muy Bueno: Excelente nivel de iluminación y moodboard sólido.</t>
        </is>
      </c>
    </row>
    <row r="11" ht="19" customHeight="1">
      <c r="A11" s="11" t="n">
        <v>54</v>
      </c>
      <c r="B11" s="10" t="n">
        <v>6.2</v>
      </c>
      <c r="C11" s="11" t="inlineStr">
        <is>
          <t>APROBADO</t>
        </is>
      </c>
      <c r="D11" s="12" t="inlineStr">
        <is>
          <t>Muy Bueno: Excelente nivel de iluminación y moodboard sólido.</t>
        </is>
      </c>
    </row>
    <row r="12" ht="19" customHeight="1">
      <c r="A12" s="7" t="n">
        <v>53</v>
      </c>
      <c r="B12" s="10" t="n">
        <v>6.1</v>
      </c>
      <c r="C12" s="7" t="inlineStr">
        <is>
          <t>APROBADO</t>
        </is>
      </c>
      <c r="D12" s="8" t="inlineStr">
        <is>
          <t>Bueno: Cumplimiento consistente de todos los requerimientos.</t>
        </is>
      </c>
    </row>
    <row r="13" ht="19" customHeight="1">
      <c r="A13" s="11" t="n">
        <v>52</v>
      </c>
      <c r="B13" s="10" t="n">
        <v>6</v>
      </c>
      <c r="C13" s="11" t="inlineStr">
        <is>
          <t>APROBADO</t>
        </is>
      </c>
      <c r="D13" s="12" t="inlineStr">
        <is>
          <t>Bueno: Cumplimiento consistente de todos los requerimientos.</t>
        </is>
      </c>
    </row>
    <row r="14" ht="19" customHeight="1">
      <c r="A14" s="7" t="n">
        <v>51</v>
      </c>
      <c r="B14" s="10" t="n">
        <v>5.9</v>
      </c>
      <c r="C14" s="7" t="inlineStr">
        <is>
          <t>APROBADO</t>
        </is>
      </c>
      <c r="D14" s="8" t="inlineStr">
        <is>
          <t>Bueno: Cumplimiento consistente de todos los requerimientos.</t>
        </is>
      </c>
    </row>
    <row r="15" ht="19" customHeight="1">
      <c r="A15" s="11" t="n">
        <v>50</v>
      </c>
      <c r="B15" s="10" t="n">
        <v>5.8</v>
      </c>
      <c r="C15" s="11" t="inlineStr">
        <is>
          <t>APROBADO</t>
        </is>
      </c>
      <c r="D15" s="12" t="inlineStr">
        <is>
          <t>Bueno: Cumplimiento consistente de todos los requerimientos.</t>
        </is>
      </c>
    </row>
    <row r="16" ht="19" customHeight="1">
      <c r="A16" s="7" t="n">
        <v>49</v>
      </c>
      <c r="B16" s="10" t="n">
        <v>5.6</v>
      </c>
      <c r="C16" s="7" t="inlineStr">
        <is>
          <t>APROBADO</t>
        </is>
      </c>
      <c r="D16" s="8" t="inlineStr">
        <is>
          <t>Bueno: Cumplimiento consistente de todos los requerimientos.</t>
        </is>
      </c>
    </row>
    <row r="17" ht="19" customHeight="1">
      <c r="A17" s="11" t="n">
        <v>48</v>
      </c>
      <c r="B17" s="10" t="n">
        <v>5.5</v>
      </c>
      <c r="C17" s="11" t="inlineStr">
        <is>
          <t>APROBADO</t>
        </is>
      </c>
      <c r="D17" s="12" t="inlineStr">
        <is>
          <t>Bueno: Cumplimiento consistente de todos los requerimientos.</t>
        </is>
      </c>
    </row>
    <row r="18" ht="19" customHeight="1">
      <c r="A18" s="7" t="n">
        <v>47</v>
      </c>
      <c r="B18" s="10" t="n">
        <v>5.4</v>
      </c>
      <c r="C18" s="7" t="inlineStr">
        <is>
          <t>APROBADO</t>
        </is>
      </c>
      <c r="D18" s="8" t="inlineStr">
        <is>
          <t>Aceptable: Cumple los requisitos con detalles de calibración.</t>
        </is>
      </c>
    </row>
    <row r="19" ht="19" customHeight="1">
      <c r="A19" s="11" t="n">
        <v>46</v>
      </c>
      <c r="B19" s="10" t="n">
        <v>5.2</v>
      </c>
      <c r="C19" s="11" t="inlineStr">
        <is>
          <t>APROBADO</t>
        </is>
      </c>
      <c r="D19" s="12" t="inlineStr">
        <is>
          <t>Aceptable: Cumple los requisitos con detalles de calibración.</t>
        </is>
      </c>
    </row>
    <row r="20" ht="19" customHeight="1">
      <c r="A20" s="7" t="n">
        <v>45</v>
      </c>
      <c r="B20" s="10" t="n">
        <v>5.1</v>
      </c>
      <c r="C20" s="7" t="inlineStr">
        <is>
          <t>APROBADO</t>
        </is>
      </c>
      <c r="D20" s="8" t="inlineStr">
        <is>
          <t>Aceptable: Cumple los requisitos con detalles de calibración.</t>
        </is>
      </c>
    </row>
    <row r="21" ht="19" customHeight="1">
      <c r="A21" s="11" t="n">
        <v>44</v>
      </c>
      <c r="B21" s="10" t="n">
        <v>5</v>
      </c>
      <c r="C21" s="11" t="inlineStr">
        <is>
          <t>APROBADO</t>
        </is>
      </c>
      <c r="D21" s="12" t="inlineStr">
        <is>
          <t>Aceptable: Cumple los requisitos con detalles de calibración.</t>
        </is>
      </c>
    </row>
    <row r="22" ht="19" customHeight="1">
      <c r="A22" s="7" t="n">
        <v>43</v>
      </c>
      <c r="B22" s="10" t="n">
        <v>4.9</v>
      </c>
      <c r="C22" s="7" t="inlineStr">
        <is>
          <t>APROBADO</t>
        </is>
      </c>
      <c r="D22" s="8" t="inlineStr">
        <is>
          <t>Aceptable: Cumple los requisitos con detalles de calibración.</t>
        </is>
      </c>
    </row>
    <row r="23" ht="19" customHeight="1">
      <c r="A23" s="11" t="n">
        <v>42</v>
      </c>
      <c r="B23" s="10" t="n">
        <v>4.8</v>
      </c>
      <c r="C23" s="11" t="inlineStr">
        <is>
          <t>APROBADO</t>
        </is>
      </c>
      <c r="D23" s="12" t="inlineStr">
        <is>
          <t>Aceptable: Cumple los requisitos con detalles de calibración.</t>
        </is>
      </c>
    </row>
    <row r="24" ht="19" customHeight="1">
      <c r="A24" s="7" t="n">
        <v>41</v>
      </c>
      <c r="B24" s="10" t="n">
        <v>4.6</v>
      </c>
      <c r="C24" s="7" t="inlineStr">
        <is>
          <t>APROBADO</t>
        </is>
      </c>
      <c r="D24" s="8" t="inlineStr">
        <is>
          <t>Aprobado (Corte 60%): Cumplimiento mínimo de los objetivos formativos.</t>
        </is>
      </c>
    </row>
    <row r="25" ht="19" customHeight="1">
      <c r="A25" s="11" t="n">
        <v>40</v>
      </c>
      <c r="B25" s="10" t="n">
        <v>4.5</v>
      </c>
      <c r="C25" s="11" t="inlineStr">
        <is>
          <t>APROBADO</t>
        </is>
      </c>
      <c r="D25" s="12" t="inlineStr">
        <is>
          <t>Aprobado (Corte 60%): Cumplimiento mínimo de los objetivos formativos.</t>
        </is>
      </c>
    </row>
    <row r="26" ht="19" customHeight="1">
      <c r="A26" s="7" t="n">
        <v>39</v>
      </c>
      <c r="B26" s="10" t="n">
        <v>4.4</v>
      </c>
      <c r="C26" s="7" t="inlineStr">
        <is>
          <t>APROBADO</t>
        </is>
      </c>
      <c r="D26" s="8" t="inlineStr">
        <is>
          <t>Aprobado (Corte 60%): Cumplimiento mínimo de los objetivos formativos.</t>
        </is>
      </c>
    </row>
    <row r="27" ht="19" customHeight="1">
      <c r="A27" s="11" t="n">
        <v>38</v>
      </c>
      <c r="B27" s="10" t="n">
        <v>4.2</v>
      </c>
      <c r="C27" s="11" t="inlineStr">
        <is>
          <t>APROBADO</t>
        </is>
      </c>
      <c r="D27" s="12" t="inlineStr">
        <is>
          <t>Aprobado (Corte 60%): Cumplimiento mínimo de los objetivos formativos.</t>
        </is>
      </c>
    </row>
    <row r="28" ht="19" customHeight="1">
      <c r="A28" s="7" t="n">
        <v>37</v>
      </c>
      <c r="B28" s="10" t="n">
        <v>4.1</v>
      </c>
      <c r="C28" s="7" t="inlineStr">
        <is>
          <t>APROBADO</t>
        </is>
      </c>
      <c r="D28" s="8" t="inlineStr">
        <is>
          <t>Aprobado (Corte 60%): Cumplimiento mínimo de los objetivos formativos.</t>
        </is>
      </c>
    </row>
    <row r="29" ht="19" customHeight="1">
      <c r="A29" s="11" t="n">
        <v>36</v>
      </c>
      <c r="B29" s="10" t="n">
        <v>4</v>
      </c>
      <c r="C29" s="11" t="inlineStr">
        <is>
          <t>APROBADO</t>
        </is>
      </c>
      <c r="D29" s="12" t="inlineStr">
        <is>
          <t>Aprobado (Corte 60%): Cumplimiento mínimo de los objetivos formativos.</t>
        </is>
      </c>
    </row>
    <row r="30" ht="19" customHeight="1">
      <c r="A30" s="7" t="n">
        <v>35</v>
      </c>
      <c r="B30" s="16" t="n">
        <v>3.9</v>
      </c>
      <c r="C30" s="7" t="inlineStr">
        <is>
          <t>REPROBADO</t>
        </is>
      </c>
      <c r="D30" s="8" t="inlineStr">
        <is>
          <t>Reprobado: Falencias graves en jerarquía lumínica o ausencia de moodboard.</t>
        </is>
      </c>
    </row>
    <row r="31" ht="19" customHeight="1">
      <c r="A31" s="11" t="n">
        <v>34</v>
      </c>
      <c r="B31" s="16" t="n">
        <v>3.8</v>
      </c>
      <c r="C31" s="11" t="inlineStr">
        <is>
          <t>REPROBADO</t>
        </is>
      </c>
      <c r="D31" s="12" t="inlineStr">
        <is>
          <t>Reprobado: Falencias graves en jerarquía lumínica o ausencia de moodboard.</t>
        </is>
      </c>
    </row>
    <row r="32" ht="19" customHeight="1">
      <c r="A32" s="7" t="n">
        <v>33</v>
      </c>
      <c r="B32" s="16" t="n">
        <v>3.8</v>
      </c>
      <c r="C32" s="7" t="inlineStr">
        <is>
          <t>REPROBADO</t>
        </is>
      </c>
      <c r="D32" s="8" t="inlineStr">
        <is>
          <t>Reprobado: Falencias graves en jerarquía lumínica o ausencia de moodboard.</t>
        </is>
      </c>
    </row>
    <row r="33" ht="19" customHeight="1">
      <c r="A33" s="11" t="n">
        <v>32</v>
      </c>
      <c r="B33" s="16" t="n">
        <v>3.7</v>
      </c>
      <c r="C33" s="11" t="inlineStr">
        <is>
          <t>REPROBADO</t>
        </is>
      </c>
      <c r="D33" s="12" t="inlineStr">
        <is>
          <t>Reprobado: Falencias graves en jerarquía lumínica o ausencia de moodboard.</t>
        </is>
      </c>
    </row>
    <row r="34" ht="19" customHeight="1">
      <c r="A34" s="7" t="n">
        <v>31</v>
      </c>
      <c r="B34" s="16" t="n">
        <v>3.6</v>
      </c>
      <c r="C34" s="7" t="inlineStr">
        <is>
          <t>REPROBADO</t>
        </is>
      </c>
      <c r="D34" s="8" t="inlineStr">
        <is>
          <t>Reprobado: Falencias graves en jerarquía lumínica o ausencia de moodboard.</t>
        </is>
      </c>
    </row>
    <row r="35" ht="19" customHeight="1">
      <c r="A35" s="11" t="n">
        <v>30</v>
      </c>
      <c r="B35" s="16" t="n">
        <v>3.5</v>
      </c>
      <c r="C35" s="11" t="inlineStr">
        <is>
          <t>REPROBADO</t>
        </is>
      </c>
      <c r="D35" s="12" t="inlineStr">
        <is>
          <t>Reprobado: Falencias graves en jerarquía lumínica o ausencia de moodboard.</t>
        </is>
      </c>
    </row>
    <row r="36" ht="19" customHeight="1">
      <c r="A36" s="7" t="n">
        <v>29</v>
      </c>
      <c r="B36" s="16" t="n">
        <v>3.4</v>
      </c>
      <c r="C36" s="7" t="inlineStr">
        <is>
          <t>REPROBADO</t>
        </is>
      </c>
      <c r="D36" s="8" t="inlineStr">
        <is>
          <t>Reprobado: Falencias graves en jerarquía lumínica o ausencia de moodboard.</t>
        </is>
      </c>
    </row>
    <row r="37" ht="19" customHeight="1">
      <c r="A37" s="11" t="n">
        <v>28</v>
      </c>
      <c r="B37" s="16" t="n">
        <v>3.3</v>
      </c>
      <c r="C37" s="11" t="inlineStr">
        <is>
          <t>REPROBADO</t>
        </is>
      </c>
      <c r="D37" s="12" t="inlineStr">
        <is>
          <t>Reprobado: Falencias graves en jerarquía lumínica o ausencia de moodboard.</t>
        </is>
      </c>
    </row>
    <row r="38" ht="19" customHeight="1">
      <c r="A38" s="7" t="n">
        <v>27</v>
      </c>
      <c r="B38" s="16" t="n">
        <v>3.2</v>
      </c>
      <c r="C38" s="7" t="inlineStr">
        <is>
          <t>REPROBADO</t>
        </is>
      </c>
      <c r="D38" s="8" t="inlineStr">
        <is>
          <t>Reprobado: Falencias graves en jerarquía lumínica o ausencia de moodboard.</t>
        </is>
      </c>
    </row>
    <row r="39" ht="19" customHeight="1">
      <c r="A39" s="11" t="n">
        <v>26</v>
      </c>
      <c r="B39" s="16" t="n">
        <v>3.2</v>
      </c>
      <c r="C39" s="11" t="inlineStr">
        <is>
          <t>REPROBADO</t>
        </is>
      </c>
      <c r="D39" s="12" t="inlineStr">
        <is>
          <t>Reprobado: Falencias graves en jerarquía lumínica o ausencia de moodboard.</t>
        </is>
      </c>
    </row>
    <row r="40" ht="19" customHeight="1">
      <c r="A40" s="7" t="n">
        <v>25</v>
      </c>
      <c r="B40" s="16" t="n">
        <v>3.1</v>
      </c>
      <c r="C40" s="7" t="inlineStr">
        <is>
          <t>REPROBADO</t>
        </is>
      </c>
      <c r="D40" s="8" t="inlineStr">
        <is>
          <t>Reprobado: Falencias graves en jerarquía lumínica o ausencia de moodboard.</t>
        </is>
      </c>
    </row>
    <row r="41" ht="19" customHeight="1">
      <c r="A41" s="11" t="n">
        <v>24</v>
      </c>
      <c r="B41" s="16" t="n">
        <v>3</v>
      </c>
      <c r="C41" s="11" t="inlineStr">
        <is>
          <t>REPROBADO</t>
        </is>
      </c>
      <c r="D41" s="12" t="inlineStr">
        <is>
          <t>Reprobado: Falencias graves en jerarquía lumínica o ausencia de moodboard.</t>
        </is>
      </c>
    </row>
    <row r="42" ht="19" customHeight="1">
      <c r="A42" s="7" t="n">
        <v>23</v>
      </c>
      <c r="B42" s="16" t="n">
        <v>2.9</v>
      </c>
      <c r="C42" s="7" t="inlineStr">
        <is>
          <t>REPROBADO</t>
        </is>
      </c>
      <c r="D42" s="8" t="inlineStr">
        <is>
          <t>Insuficiente: Incumplimiento crítico de los requisitos de entrega.</t>
        </is>
      </c>
    </row>
    <row r="43" ht="19" customHeight="1">
      <c r="A43" s="11" t="n">
        <v>22</v>
      </c>
      <c r="B43" s="16" t="n">
        <v>2.8</v>
      </c>
      <c r="C43" s="11" t="inlineStr">
        <is>
          <t>REPROBADO</t>
        </is>
      </c>
      <c r="D43" s="12" t="inlineStr">
        <is>
          <t>Insuficiente: Incumplimiento crítico de los requisitos de entrega.</t>
        </is>
      </c>
    </row>
    <row r="44" ht="19" customHeight="1">
      <c r="A44" s="7" t="n">
        <v>21</v>
      </c>
      <c r="B44" s="16" t="n">
        <v>2.8</v>
      </c>
      <c r="C44" s="7" t="inlineStr">
        <is>
          <t>REPROBADO</t>
        </is>
      </c>
      <c r="D44" s="8" t="inlineStr">
        <is>
          <t>Insuficiente: Incumplimiento crítico de los requisitos de entrega.</t>
        </is>
      </c>
    </row>
    <row r="45" ht="19" customHeight="1">
      <c r="A45" s="11" t="n">
        <v>20</v>
      </c>
      <c r="B45" s="16" t="n">
        <v>2.7</v>
      </c>
      <c r="C45" s="11" t="inlineStr">
        <is>
          <t>REPROBADO</t>
        </is>
      </c>
      <c r="D45" s="12" t="inlineStr">
        <is>
          <t>Insuficiente: Incumplimiento crítico de los requisitos de entrega.</t>
        </is>
      </c>
    </row>
    <row r="46" ht="19" customHeight="1">
      <c r="A46" s="7" t="n">
        <v>19</v>
      </c>
      <c r="B46" s="16" t="n">
        <v>2.6</v>
      </c>
      <c r="C46" s="7" t="inlineStr">
        <is>
          <t>REPROBADO</t>
        </is>
      </c>
      <c r="D46" s="8" t="inlineStr">
        <is>
          <t>Insuficiente: Incumplimiento crítico de los requisitos de entrega.</t>
        </is>
      </c>
    </row>
    <row r="47" ht="19" customHeight="1">
      <c r="A47" s="11" t="n">
        <v>18</v>
      </c>
      <c r="B47" s="16" t="n">
        <v>2.5</v>
      </c>
      <c r="C47" s="11" t="inlineStr">
        <is>
          <t>REPROBADO</t>
        </is>
      </c>
      <c r="D47" s="12" t="inlineStr">
        <is>
          <t>Insuficiente: Incumplimiento crítico de los requisitos de entrega.</t>
        </is>
      </c>
    </row>
    <row r="48" ht="19" customHeight="1">
      <c r="A48" s="7" t="n">
        <v>17</v>
      </c>
      <c r="B48" s="16" t="n">
        <v>2.4</v>
      </c>
      <c r="C48" s="7" t="inlineStr">
        <is>
          <t>REPROBADO</t>
        </is>
      </c>
      <c r="D48" s="8" t="inlineStr">
        <is>
          <t>Insuficiente: Incumplimiento crítico de los requisitos de entrega.</t>
        </is>
      </c>
    </row>
    <row r="49" ht="19" customHeight="1">
      <c r="A49" s="11" t="n">
        <v>16</v>
      </c>
      <c r="B49" s="16" t="n">
        <v>2.3</v>
      </c>
      <c r="C49" s="11" t="inlineStr">
        <is>
          <t>REPROBADO</t>
        </is>
      </c>
      <c r="D49" s="12" t="inlineStr">
        <is>
          <t>Insuficiente: Incumplimiento crítico de los requisitos de entrega.</t>
        </is>
      </c>
    </row>
    <row r="50" ht="19" customHeight="1">
      <c r="A50" s="7" t="n">
        <v>15</v>
      </c>
      <c r="B50" s="16" t="n">
        <v>2.2</v>
      </c>
      <c r="C50" s="7" t="inlineStr">
        <is>
          <t>REPROBADO</t>
        </is>
      </c>
      <c r="D50" s="8" t="inlineStr">
        <is>
          <t>Insuficiente: Incumplimiento crítico de los requisitos de entrega.</t>
        </is>
      </c>
    </row>
    <row r="51" ht="19" customHeight="1">
      <c r="A51" s="11" t="n">
        <v>14</v>
      </c>
      <c r="B51" s="16" t="n">
        <v>2.2</v>
      </c>
      <c r="C51" s="11" t="inlineStr">
        <is>
          <t>REPROBADO</t>
        </is>
      </c>
      <c r="D51" s="12" t="inlineStr">
        <is>
          <t>Insuficiente: Incumplimiento crítico de los requisitos de entrega.</t>
        </is>
      </c>
    </row>
    <row r="52" ht="19" customHeight="1">
      <c r="A52" s="7" t="n">
        <v>13</v>
      </c>
      <c r="B52" s="16" t="n">
        <v>2.1</v>
      </c>
      <c r="C52" s="7" t="inlineStr">
        <is>
          <t>REPROBADO</t>
        </is>
      </c>
      <c r="D52" s="8" t="inlineStr">
        <is>
          <t>Insuficiente: Incumplimiento crítico de los requisitos de entrega.</t>
        </is>
      </c>
    </row>
    <row r="53" ht="19" customHeight="1">
      <c r="A53" s="11" t="n">
        <v>12</v>
      </c>
      <c r="B53" s="16" t="n">
        <v>2</v>
      </c>
      <c r="C53" s="11" t="inlineStr">
        <is>
          <t>REPROBADO</t>
        </is>
      </c>
      <c r="D53" s="12" t="inlineStr">
        <is>
          <t>Insuficiente: Incumplimiento crítico de los requisitos de entrega.</t>
        </is>
      </c>
    </row>
    <row r="54" ht="19" customHeight="1">
      <c r="A54" s="7" t="n">
        <v>11</v>
      </c>
      <c r="B54" s="16" t="n">
        <v>1.9</v>
      </c>
      <c r="C54" s="7" t="inlineStr">
        <is>
          <t>REPROBADO</t>
        </is>
      </c>
      <c r="D54" s="8" t="inlineStr">
        <is>
          <t>Insuficiente: Incumplimiento crítico de los requisitos de entrega.</t>
        </is>
      </c>
    </row>
    <row r="55" ht="19" customHeight="1">
      <c r="A55" s="11" t="n">
        <v>10</v>
      </c>
      <c r="B55" s="16" t="n">
        <v>1.8</v>
      </c>
      <c r="C55" s="11" t="inlineStr">
        <is>
          <t>REPROBADO</t>
        </is>
      </c>
      <c r="D55" s="12" t="inlineStr">
        <is>
          <t>Insuficiente: Incumplimiento crítico de los requisitos de entrega.</t>
        </is>
      </c>
    </row>
    <row r="56" ht="19" customHeight="1">
      <c r="A56" s="7" t="n">
        <v>9</v>
      </c>
      <c r="B56" s="16" t="n">
        <v>1.8</v>
      </c>
      <c r="C56" s="7" t="inlineStr">
        <is>
          <t>REPROBADO</t>
        </is>
      </c>
      <c r="D56" s="8" t="inlineStr">
        <is>
          <t>Insuficiente: Incumplimiento crítico de los requisitos de entrega.</t>
        </is>
      </c>
    </row>
    <row r="57" ht="19" customHeight="1">
      <c r="A57" s="11" t="n">
        <v>8</v>
      </c>
      <c r="B57" s="16" t="n">
        <v>1.7</v>
      </c>
      <c r="C57" s="11" t="inlineStr">
        <is>
          <t>REPROBADO</t>
        </is>
      </c>
      <c r="D57" s="12" t="inlineStr">
        <is>
          <t>Insuficiente: Incumplimiento crítico de los requisitos de entrega.</t>
        </is>
      </c>
    </row>
    <row r="58" ht="19" customHeight="1">
      <c r="A58" s="7" t="n">
        <v>7</v>
      </c>
      <c r="B58" s="16" t="n">
        <v>1.6</v>
      </c>
      <c r="C58" s="7" t="inlineStr">
        <is>
          <t>REPROBADO</t>
        </is>
      </c>
      <c r="D58" s="8" t="inlineStr">
        <is>
          <t>Insuficiente: Incumplimiento crítico de los requisitos de entrega.</t>
        </is>
      </c>
    </row>
    <row r="59" ht="19" customHeight="1">
      <c r="A59" s="11" t="n">
        <v>6</v>
      </c>
      <c r="B59" s="16" t="n">
        <v>1.5</v>
      </c>
      <c r="C59" s="11" t="inlineStr">
        <is>
          <t>REPROBADO</t>
        </is>
      </c>
      <c r="D59" s="12" t="inlineStr">
        <is>
          <t>Insuficiente: Incumplimiento crítico de los requisitos de entrega.</t>
        </is>
      </c>
    </row>
    <row r="60" ht="19" customHeight="1">
      <c r="A60" s="7" t="n">
        <v>5</v>
      </c>
      <c r="B60" s="16" t="n">
        <v>1.4</v>
      </c>
      <c r="C60" s="7" t="inlineStr">
        <is>
          <t>REPROBADO</t>
        </is>
      </c>
      <c r="D60" s="8" t="inlineStr">
        <is>
          <t>Insuficiente: Incumplimiento crítico de los requisitos de entrega.</t>
        </is>
      </c>
    </row>
    <row r="61" ht="19" customHeight="1">
      <c r="A61" s="11" t="n">
        <v>4</v>
      </c>
      <c r="B61" s="16" t="n">
        <v>1.3</v>
      </c>
      <c r="C61" s="11" t="inlineStr">
        <is>
          <t>REPROBADO</t>
        </is>
      </c>
      <c r="D61" s="12" t="inlineStr">
        <is>
          <t>Insuficiente: Incumplimiento crítico de los requisitos de entrega.</t>
        </is>
      </c>
    </row>
    <row r="62" ht="19" customHeight="1">
      <c r="A62" s="7" t="n">
        <v>3</v>
      </c>
      <c r="B62" s="16" t="n">
        <v>1.2</v>
      </c>
      <c r="C62" s="7" t="inlineStr">
        <is>
          <t>REPROBADO</t>
        </is>
      </c>
      <c r="D62" s="8" t="inlineStr">
        <is>
          <t>Insuficiente: Incumplimiento crítico de los requisitos de entrega.</t>
        </is>
      </c>
    </row>
    <row r="63" ht="19" customHeight="1">
      <c r="A63" s="11" t="n">
        <v>2</v>
      </c>
      <c r="B63" s="16" t="n">
        <v>1.2</v>
      </c>
      <c r="C63" s="11" t="inlineStr">
        <is>
          <t>REPROBADO</t>
        </is>
      </c>
      <c r="D63" s="12" t="inlineStr">
        <is>
          <t>Insuficiente: Incumplimiento crítico de los requisitos de entrega.</t>
        </is>
      </c>
    </row>
    <row r="64" ht="19" customHeight="1">
      <c r="A64" s="7" t="n">
        <v>1</v>
      </c>
      <c r="B64" s="16" t="n">
        <v>1.1</v>
      </c>
      <c r="C64" s="7" t="inlineStr">
        <is>
          <t>REPROBADO</t>
        </is>
      </c>
      <c r="D64" s="8" t="inlineStr">
        <is>
          <t>Insuficiente: Incumplimiento crítico de los requisitos de entrega.</t>
        </is>
      </c>
    </row>
    <row r="65" ht="19" customHeight="1">
      <c r="A65" s="11" t="n">
        <v>0</v>
      </c>
      <c r="B65" s="16" t="n">
        <v>1</v>
      </c>
      <c r="C65" s="11" t="inlineStr">
        <is>
          <t>REPROBADO</t>
        </is>
      </c>
      <c r="D65" s="12" t="inlineStr">
        <is>
          <t>Insuficiente: Incumplimiento crítico de los requisitos de entrega.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2026-10-08T13:06:55Z</dcterms:created>
  <dcterms:modified xmlns:dcterms="http://purl.org/dc/terms/" xmlns:xsi="http://www.w3.org/2001/XMLSchema-instance" xsi:type="dcterms:W3CDTF">2026-10-08T13:06:55Z</dcterms:modified>
</cp:coreProperties>
</file>